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202300"/>
  <mc:AlternateContent xmlns:mc="http://schemas.openxmlformats.org/markup-compatibility/2006">
    <mc:Choice Requires="x15">
      <x15ac:absPath xmlns:x15ac="http://schemas.microsoft.com/office/spreadsheetml/2010/11/ac" url="https://d.docs.live.net/f7e9f6d850c5b754/Documents/Company Setup/All Logic/General Logic/Business Structure logic/Sole Trader/AI Training/"/>
    </mc:Choice>
  </mc:AlternateContent>
  <xr:revisionPtr revIDLastSave="293" documentId="8_{F7F341B6-8A0A-4CB1-BCA8-164D19C8D214}" xr6:coauthVersionLast="47" xr6:coauthVersionMax="47" xr10:uidLastSave="{97811FFE-3ED4-4158-9634-5F8E1D70B064}"/>
  <bookViews>
    <workbookView xWindow="-120" yWindow="-120" windowWidth="20730" windowHeight="11040" activeTab="1" xr2:uid="{B48AD67A-15F2-460E-A497-63F77DD94804}"/>
  </bookViews>
  <sheets>
    <sheet name="A" sheetId="32" r:id="rId1"/>
    <sheet name="Rates for Tax Calculation" sheetId="15" r:id="rId2"/>
    <sheet name="Student Loan" sheetId="26" r:id="rId3"/>
    <sheet name="Steps for Calculation" sheetId="23" r:id="rId4"/>
    <sheet name="Daily Tax Calculation method" sheetId="37" r:id="rId5"/>
    <sheet name="Daily TaxBot Cal Examples" sheetId="38" r:id="rId6"/>
    <sheet name="B" sheetId="33" r:id="rId7"/>
    <sheet name="Income Type to Tax Form" sheetId="1" r:id="rId8"/>
    <sheet name="Allowances " sheetId="4" r:id="rId9"/>
    <sheet name="Other reliefs" sheetId="41" r:id="rId10"/>
    <sheet name="Capital Allowances" sheetId="12" r:id="rId11"/>
    <sheet name="Allow&amp;Disa Exp by Truelayer cat" sheetId="42" r:id="rId12"/>
    <sheet name="Allow&amp;Disa Exp by Merchant" sheetId="29" r:id="rId13"/>
    <sheet name="Transaction Cat for Tax&amp;FS" sheetId="19" r:id="rId14"/>
    <sheet name="Remittance Basis rules" sheetId="18" r:id="rId15"/>
    <sheet name="Loss Relief" sheetId="13" r:id="rId16"/>
    <sheet name="Loss Relief scenarios" sheetId="36" r:id="rId17"/>
    <sheet name="Income Tax reliefs cap" sheetId="40" r:id="rId18"/>
    <sheet name="4. Allowable and Disallowable" sheetId="17" state="hidden" r:id="rId19"/>
    <sheet name="API for past returns" sheetId="43" r:id="rId20"/>
    <sheet name="C" sheetId="31" r:id="rId21"/>
    <sheet name="List of Pension providers (UK)" sheetId="14" r:id="rId22"/>
    <sheet name="List of Charities (Gift Aid)" sheetId="24" r:id="rId23"/>
    <sheet name="List of CIS contracting compani" sheetId="25" r:id="rId24"/>
  </sheets>
  <externalReferences>
    <externalReference r:id="rId25"/>
  </externalReferences>
  <definedNames>
    <definedName name="_xlnm._FilterDatabase" localSheetId="12" hidden="1">'Allow&amp;Disa Exp by Merchant'!$F$2:$F$984</definedName>
    <definedName name="_xlnm._FilterDatabase" localSheetId="13" hidden="1">'Transaction Cat for Tax&amp;FS'!$A$1:$H$97</definedName>
    <definedName name="_xlnm.Print_Area" localSheetId="0">A!$A$1:$N$17</definedName>
    <definedName name="_xlnm.Print_Area" localSheetId="12">'Allow&amp;Disa Exp by Merchant'!$A$2:$W$987</definedName>
    <definedName name="_xlnm.Print_Area" localSheetId="8">'Allowances '!$A$1:$I$47</definedName>
    <definedName name="_xlnm.Print_Area" localSheetId="6">B!$A$1:$O$18</definedName>
    <definedName name="_xlnm.Print_Area" localSheetId="20">'C'!$A$1:$O$17</definedName>
    <definedName name="_xlnm.Print_Area" localSheetId="10">'Capital Allowances'!$A$1:$F$149</definedName>
    <definedName name="_xlnm.Print_Area" localSheetId="4">'Daily Tax Calculation method'!$A$1:$T$139</definedName>
    <definedName name="_xlnm.Print_Area" localSheetId="5">'Daily TaxBot Cal Examples'!$A$1:$L$54</definedName>
    <definedName name="_xlnm.Print_Area" localSheetId="17">'Income Tax reliefs cap'!$A$1:$M$50</definedName>
    <definedName name="_xlnm.Print_Area" localSheetId="15">'Loss Relief'!$A$1:$H$60</definedName>
    <definedName name="_xlnm.Print_Area" localSheetId="16">'Loss Relief scenarios'!$A$1:$J$11</definedName>
    <definedName name="_xlnm.Print_Area" localSheetId="1">'Rates for Tax Calculation'!$A$1:$P$244</definedName>
    <definedName name="_xlnm.Print_Area" localSheetId="14">'Remittance Basis rules'!$A$1:$G$91</definedName>
    <definedName name="_xlnm.Print_Area" localSheetId="3">'Steps for Calculation'!$A$1:$M$43</definedName>
    <definedName name="_xlnm.Print_Area" localSheetId="2">'Student Loan'!$A$1:$Q$23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1" i="19" l="1"/>
  <c r="F4" i="29"/>
  <c r="F5" i="29"/>
  <c r="F6" i="29"/>
  <c r="F7" i="29"/>
  <c r="F8" i="29"/>
  <c r="F9" i="29"/>
  <c r="F10" i="29"/>
  <c r="F11" i="29"/>
  <c r="F12" i="29"/>
  <c r="F13" i="29"/>
  <c r="F14" i="29"/>
  <c r="F15" i="29"/>
  <c r="F16" i="29"/>
  <c r="F17" i="29"/>
  <c r="F18" i="29"/>
  <c r="F19" i="29"/>
  <c r="F20" i="29"/>
  <c r="F21" i="29"/>
  <c r="F22" i="29"/>
  <c r="F23" i="29"/>
  <c r="F24" i="29"/>
  <c r="F25"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78" i="29"/>
  <c r="F79" i="29"/>
  <c r="F80" i="29"/>
  <c r="F81" i="29"/>
  <c r="F82" i="29"/>
  <c r="F83" i="29"/>
  <c r="F84" i="29"/>
  <c r="F85" i="29"/>
  <c r="F86" i="29"/>
  <c r="F87" i="29"/>
  <c r="F88" i="29"/>
  <c r="F89" i="29"/>
  <c r="F90" i="29"/>
  <c r="F91" i="29"/>
  <c r="F92" i="29"/>
  <c r="F93" i="29"/>
  <c r="F94" i="29"/>
  <c r="F95" i="29"/>
  <c r="F96" i="29"/>
  <c r="F97" i="29"/>
  <c r="F98" i="29"/>
  <c r="F99" i="29"/>
  <c r="F100" i="29"/>
  <c r="F101" i="29"/>
  <c r="F102" i="29"/>
  <c r="F103" i="29"/>
  <c r="F104" i="29"/>
  <c r="F105" i="29"/>
  <c r="F106" i="29"/>
  <c r="F107" i="29"/>
  <c r="F108" i="29"/>
  <c r="F109" i="29"/>
  <c r="F110" i="29"/>
  <c r="F111" i="29"/>
  <c r="F112" i="29"/>
  <c r="F113" i="29"/>
  <c r="F114" i="29"/>
  <c r="F115" i="29"/>
  <c r="F116" i="29"/>
  <c r="F117" i="29"/>
  <c r="F118" i="29"/>
  <c r="F119" i="29"/>
  <c r="F120" i="29"/>
  <c r="F121" i="29"/>
  <c r="F122" i="29"/>
  <c r="F123" i="29"/>
  <c r="F124" i="29"/>
  <c r="F125" i="29"/>
  <c r="F126" i="29"/>
  <c r="F127" i="29"/>
  <c r="F128" i="29"/>
  <c r="F129" i="29"/>
  <c r="F130" i="29"/>
  <c r="F131" i="29"/>
  <c r="F132" i="29"/>
  <c r="F133" i="29"/>
  <c r="F134" i="29"/>
  <c r="F135" i="29"/>
  <c r="F136" i="29"/>
  <c r="F137" i="29"/>
  <c r="F138" i="29"/>
  <c r="F139" i="29"/>
  <c r="F140" i="29"/>
  <c r="F141" i="29"/>
  <c r="F142" i="29"/>
  <c r="F143" i="29"/>
  <c r="F144" i="29"/>
  <c r="F145" i="29"/>
  <c r="F146" i="29"/>
  <c r="F147" i="29"/>
  <c r="F148" i="29"/>
  <c r="F149" i="29"/>
  <c r="F150" i="29"/>
  <c r="F151" i="29"/>
  <c r="F152" i="29"/>
  <c r="F153" i="29"/>
  <c r="F154" i="29"/>
  <c r="F155" i="29"/>
  <c r="F156" i="29"/>
  <c r="F157" i="29"/>
  <c r="F158" i="29"/>
  <c r="F159" i="29"/>
  <c r="F160" i="29"/>
  <c r="F161" i="29"/>
  <c r="F162" i="29"/>
  <c r="F163" i="29"/>
  <c r="F164" i="29"/>
  <c r="F165" i="29"/>
  <c r="F166" i="29"/>
  <c r="F167" i="29"/>
  <c r="F168" i="29"/>
  <c r="F169" i="29"/>
  <c r="F170" i="29"/>
  <c r="F171" i="29"/>
  <c r="F172" i="29"/>
  <c r="F173" i="29"/>
  <c r="F174" i="29"/>
  <c r="F175" i="29"/>
  <c r="F176" i="29"/>
  <c r="F177" i="29"/>
  <c r="F178" i="29"/>
  <c r="F179" i="29"/>
  <c r="F180" i="29"/>
  <c r="F181" i="29"/>
  <c r="F182" i="29"/>
  <c r="F183" i="29"/>
  <c r="F184" i="29"/>
  <c r="F185" i="29"/>
  <c r="F186" i="29"/>
  <c r="F187" i="29"/>
  <c r="F188" i="29"/>
  <c r="F189" i="29"/>
  <c r="F190" i="29"/>
  <c r="F191" i="29"/>
  <c r="F192" i="29"/>
  <c r="F193" i="29"/>
  <c r="F194" i="29"/>
  <c r="F195" i="29"/>
  <c r="F196" i="29"/>
  <c r="F197" i="29"/>
  <c r="F198" i="29"/>
  <c r="F199" i="29"/>
  <c r="F200" i="29"/>
  <c r="F201" i="29"/>
  <c r="F202" i="29"/>
  <c r="F203" i="29"/>
  <c r="F204" i="29"/>
  <c r="F205" i="29"/>
  <c r="F206" i="29"/>
  <c r="F207" i="29"/>
  <c r="F208" i="29"/>
  <c r="F209" i="29"/>
  <c r="F210" i="29"/>
  <c r="F211" i="29"/>
  <c r="F212" i="29"/>
  <c r="F213" i="29"/>
  <c r="F214" i="29"/>
  <c r="F215" i="29"/>
  <c r="F216" i="29"/>
  <c r="F217" i="29"/>
  <c r="F218" i="29"/>
  <c r="F219" i="29"/>
  <c r="F220" i="29"/>
  <c r="F221" i="29"/>
  <c r="F222" i="29"/>
  <c r="F223" i="29"/>
  <c r="F224" i="29"/>
  <c r="F225" i="29"/>
  <c r="F226" i="29"/>
  <c r="F227" i="29"/>
  <c r="F228" i="29"/>
  <c r="F229" i="29"/>
  <c r="F230" i="29"/>
  <c r="F231" i="29"/>
  <c r="F232" i="29"/>
  <c r="F233" i="29"/>
  <c r="F234" i="29"/>
  <c r="F235" i="29"/>
  <c r="F236" i="29"/>
  <c r="F237" i="29"/>
  <c r="F238" i="29"/>
  <c r="F239" i="29"/>
  <c r="F240" i="29"/>
  <c r="F241" i="29"/>
  <c r="F242" i="29"/>
  <c r="F243" i="29"/>
  <c r="F244" i="29"/>
  <c r="F245" i="29"/>
  <c r="F246" i="29"/>
  <c r="F247" i="29"/>
  <c r="F248" i="29"/>
  <c r="F249" i="29"/>
  <c r="F250" i="29"/>
  <c r="F251" i="29"/>
  <c r="F252" i="29"/>
  <c r="F253" i="29"/>
  <c r="F254" i="29"/>
  <c r="F255" i="29"/>
  <c r="F256" i="29"/>
  <c r="F257" i="29"/>
  <c r="F258" i="29"/>
  <c r="F259" i="29"/>
  <c r="F260" i="29"/>
  <c r="F261" i="29"/>
  <c r="F262" i="29"/>
  <c r="F263" i="29"/>
  <c r="F264" i="29"/>
  <c r="F265" i="29"/>
  <c r="F266" i="29"/>
  <c r="F267" i="29"/>
  <c r="F268" i="29"/>
  <c r="F269" i="29"/>
  <c r="F270" i="29"/>
  <c r="F271" i="29"/>
  <c r="F272" i="29"/>
  <c r="F273" i="29"/>
  <c r="F274" i="29"/>
  <c r="F275" i="29"/>
  <c r="F276" i="29"/>
  <c r="F277" i="29"/>
  <c r="F278" i="29"/>
  <c r="F279" i="29"/>
  <c r="F280" i="29"/>
  <c r="F281" i="29"/>
  <c r="F282" i="29"/>
  <c r="F283" i="29"/>
  <c r="F284" i="29"/>
  <c r="F285" i="29"/>
  <c r="F286" i="29"/>
  <c r="F287" i="29"/>
  <c r="F288" i="29"/>
  <c r="F289" i="29"/>
  <c r="F290" i="29"/>
  <c r="F291" i="29"/>
  <c r="F292" i="29"/>
  <c r="F293" i="29"/>
  <c r="F294" i="29"/>
  <c r="F295" i="29"/>
  <c r="F296" i="29"/>
  <c r="F297" i="29"/>
  <c r="F298" i="29"/>
  <c r="F299" i="29"/>
  <c r="F300" i="29"/>
  <c r="F301" i="29"/>
  <c r="F302" i="29"/>
  <c r="F303" i="29"/>
  <c r="F304" i="29"/>
  <c r="F305" i="29"/>
  <c r="F306" i="29"/>
  <c r="F307" i="29"/>
  <c r="F308" i="29"/>
  <c r="F309" i="29"/>
  <c r="F310" i="29"/>
  <c r="F311" i="29"/>
  <c r="F312" i="29"/>
  <c r="F313" i="29"/>
  <c r="F314" i="29"/>
  <c r="F315" i="29"/>
  <c r="F316" i="29"/>
  <c r="F317" i="29"/>
  <c r="F318" i="29"/>
  <c r="F319" i="29"/>
  <c r="F320" i="29"/>
  <c r="F321" i="29"/>
  <c r="F322" i="29"/>
  <c r="F323" i="29"/>
  <c r="F324" i="29"/>
  <c r="F325" i="29"/>
  <c r="F326" i="29"/>
  <c r="F327" i="29"/>
  <c r="F328" i="29"/>
  <c r="F329" i="29"/>
  <c r="F330" i="29"/>
  <c r="F331" i="29"/>
  <c r="F332" i="29"/>
  <c r="F333" i="29"/>
  <c r="F334" i="29"/>
  <c r="F335" i="29"/>
  <c r="F336" i="29"/>
  <c r="F337" i="29"/>
  <c r="F338" i="29"/>
  <c r="F339" i="29"/>
  <c r="F340" i="29"/>
  <c r="F341" i="29"/>
  <c r="F342" i="29"/>
  <c r="F343" i="29"/>
  <c r="F344" i="29"/>
  <c r="F345" i="29"/>
  <c r="F346" i="29"/>
  <c r="F347" i="29"/>
  <c r="F348" i="29"/>
  <c r="F349" i="29"/>
  <c r="F350" i="29"/>
  <c r="F351" i="29"/>
  <c r="F352" i="29"/>
  <c r="F353" i="29"/>
  <c r="F354" i="29"/>
  <c r="F355" i="29"/>
  <c r="F356" i="29"/>
  <c r="F357" i="29"/>
  <c r="F358" i="29"/>
  <c r="F359" i="29"/>
  <c r="F360" i="29"/>
  <c r="F361" i="29"/>
  <c r="F362" i="29"/>
  <c r="F363" i="29"/>
  <c r="F364" i="29"/>
  <c r="F365" i="29"/>
  <c r="F366" i="29"/>
  <c r="F367" i="29"/>
  <c r="F368" i="29"/>
  <c r="F369" i="29"/>
  <c r="F370" i="29"/>
  <c r="F371" i="29"/>
  <c r="F372" i="29"/>
  <c r="F373" i="29"/>
  <c r="F374" i="29"/>
  <c r="F375" i="29"/>
  <c r="F376" i="29"/>
  <c r="F377" i="29"/>
  <c r="F378" i="29"/>
  <c r="F379" i="29"/>
  <c r="F380" i="29"/>
  <c r="F381" i="29"/>
  <c r="F382" i="29"/>
  <c r="F383" i="29"/>
  <c r="F384" i="29"/>
  <c r="F385" i="29"/>
  <c r="F386" i="29"/>
  <c r="F387" i="29"/>
  <c r="F388" i="29"/>
  <c r="F389" i="29"/>
  <c r="F390" i="29"/>
  <c r="F391" i="29"/>
  <c r="F392" i="29"/>
  <c r="F393" i="29"/>
  <c r="F394" i="29"/>
  <c r="F395" i="29"/>
  <c r="F396" i="29"/>
  <c r="F397" i="29"/>
  <c r="F398" i="29"/>
  <c r="F399" i="29"/>
  <c r="F400" i="29"/>
  <c r="F401" i="29"/>
  <c r="F402" i="29"/>
  <c r="F403" i="29"/>
  <c r="F404" i="29"/>
  <c r="F405" i="29"/>
  <c r="F406" i="29"/>
  <c r="F407" i="29"/>
  <c r="F408" i="29"/>
  <c r="F409" i="29"/>
  <c r="F410" i="29"/>
  <c r="F411" i="29"/>
  <c r="F412" i="29"/>
  <c r="F413" i="29"/>
  <c r="F414" i="29"/>
  <c r="F415" i="29"/>
  <c r="F416" i="29"/>
  <c r="F417" i="29"/>
  <c r="F418" i="29"/>
  <c r="F419" i="29"/>
  <c r="F420" i="29"/>
  <c r="F421" i="29"/>
  <c r="F422" i="29"/>
  <c r="F423" i="29"/>
  <c r="F424" i="29"/>
  <c r="F425" i="29"/>
  <c r="F426" i="29"/>
  <c r="F427" i="29"/>
  <c r="F428" i="29"/>
  <c r="F429" i="29"/>
  <c r="F430" i="29"/>
  <c r="F431" i="29"/>
  <c r="F432" i="29"/>
  <c r="F433" i="29"/>
  <c r="F434" i="29"/>
  <c r="F435" i="29"/>
  <c r="F436" i="29"/>
  <c r="F437" i="29"/>
  <c r="F438" i="29"/>
  <c r="F439" i="29"/>
  <c r="F440" i="29"/>
  <c r="F441" i="29"/>
  <c r="F442" i="29"/>
  <c r="F443" i="29"/>
  <c r="F444" i="29"/>
  <c r="F445" i="29"/>
  <c r="F446" i="29"/>
  <c r="F447" i="29"/>
  <c r="F448" i="29"/>
  <c r="F449" i="29"/>
  <c r="F450" i="29"/>
  <c r="F451" i="29"/>
  <c r="F452" i="29"/>
  <c r="F453" i="29"/>
  <c r="F454" i="29"/>
  <c r="F455" i="29"/>
  <c r="F456" i="29"/>
  <c r="F457" i="29"/>
  <c r="F458" i="29"/>
  <c r="F459" i="29"/>
  <c r="F460" i="29"/>
  <c r="F461" i="29"/>
  <c r="F462" i="29"/>
  <c r="F463" i="29"/>
  <c r="F464" i="29"/>
  <c r="F465" i="29"/>
  <c r="F466" i="29"/>
  <c r="F467" i="29"/>
  <c r="F468" i="29"/>
  <c r="F469" i="29"/>
  <c r="F470" i="29"/>
  <c r="F471" i="29"/>
  <c r="F472" i="29"/>
  <c r="F473" i="29"/>
  <c r="F474" i="29"/>
  <c r="F475" i="29"/>
  <c r="F476" i="29"/>
  <c r="F477" i="29"/>
  <c r="F478" i="29"/>
  <c r="F479" i="29"/>
  <c r="F480" i="29"/>
  <c r="F481" i="29"/>
  <c r="F482" i="29"/>
  <c r="F483" i="29"/>
  <c r="F484" i="29"/>
  <c r="F485" i="29"/>
  <c r="F486" i="29"/>
  <c r="F487" i="29"/>
  <c r="F488" i="29"/>
  <c r="F489" i="29"/>
  <c r="F490" i="29"/>
  <c r="F491" i="29"/>
  <c r="F492" i="29"/>
  <c r="F493" i="29"/>
  <c r="F494" i="29"/>
  <c r="F495" i="29"/>
  <c r="F496" i="29"/>
  <c r="F497" i="29"/>
  <c r="F498" i="29"/>
  <c r="F499" i="29"/>
  <c r="F500" i="29"/>
  <c r="F501" i="29"/>
  <c r="F502" i="29"/>
  <c r="F503" i="29"/>
  <c r="F504" i="29"/>
  <c r="F505" i="29"/>
  <c r="F506" i="29"/>
  <c r="F507" i="29"/>
  <c r="F508" i="29"/>
  <c r="F509" i="29"/>
  <c r="F510" i="29"/>
  <c r="F511" i="29"/>
  <c r="F512" i="29"/>
  <c r="F513" i="29"/>
  <c r="F514" i="29"/>
  <c r="F515" i="29"/>
  <c r="F516" i="29"/>
  <c r="F517" i="29"/>
  <c r="F518" i="29"/>
  <c r="F519" i="29"/>
  <c r="F520" i="29"/>
  <c r="F521" i="29"/>
  <c r="F522" i="29"/>
  <c r="F523" i="29"/>
  <c r="F524" i="29"/>
  <c r="F525" i="29"/>
  <c r="F526" i="29"/>
  <c r="F527" i="29"/>
  <c r="F528" i="29"/>
  <c r="F529" i="29"/>
  <c r="F530" i="29"/>
  <c r="F531" i="29"/>
  <c r="F532" i="29"/>
  <c r="F533" i="29"/>
  <c r="F534" i="29"/>
  <c r="F535" i="29"/>
  <c r="F536" i="29"/>
  <c r="F537" i="29"/>
  <c r="F538" i="29"/>
  <c r="F539" i="29"/>
  <c r="F540" i="29"/>
  <c r="F541" i="29"/>
  <c r="F542" i="29"/>
  <c r="F543" i="29"/>
  <c r="F544" i="29"/>
  <c r="F545" i="29"/>
  <c r="F546" i="29"/>
  <c r="F547" i="29"/>
  <c r="F548" i="29"/>
  <c r="F549" i="29"/>
  <c r="F550" i="29"/>
  <c r="F551" i="29"/>
  <c r="F552" i="29"/>
  <c r="F553" i="29"/>
  <c r="F554" i="29"/>
  <c r="F555" i="29"/>
  <c r="F556" i="29"/>
  <c r="F557" i="29"/>
  <c r="F558" i="29"/>
  <c r="F559" i="29"/>
  <c r="F560" i="29"/>
  <c r="F561" i="29"/>
  <c r="F562" i="29"/>
  <c r="F563" i="29"/>
  <c r="F564" i="29"/>
  <c r="F565" i="29"/>
  <c r="F566" i="29"/>
  <c r="F567" i="29"/>
  <c r="F568" i="29"/>
  <c r="F569" i="29"/>
  <c r="F570" i="29"/>
  <c r="F571" i="29"/>
  <c r="F572" i="29"/>
  <c r="F573" i="29"/>
  <c r="F574" i="29"/>
  <c r="F575" i="29"/>
  <c r="F576" i="29"/>
  <c r="F577" i="29"/>
  <c r="F578" i="29"/>
  <c r="F579" i="29"/>
  <c r="F580" i="29"/>
  <c r="F581" i="29"/>
  <c r="F582" i="29"/>
  <c r="F583" i="29"/>
  <c r="F584" i="29"/>
  <c r="F585" i="29"/>
  <c r="F586" i="29"/>
  <c r="F587" i="29"/>
  <c r="F588" i="29"/>
  <c r="F589" i="29"/>
  <c r="F590" i="29"/>
  <c r="F591" i="29"/>
  <c r="F592" i="29"/>
  <c r="F593" i="29"/>
  <c r="F594" i="29"/>
  <c r="F595" i="29"/>
  <c r="F596" i="29"/>
  <c r="F597" i="29"/>
  <c r="F598" i="29"/>
  <c r="F599" i="29"/>
  <c r="F600" i="29"/>
  <c r="F601" i="29"/>
  <c r="F602" i="29"/>
  <c r="F603" i="29"/>
  <c r="F604" i="29"/>
  <c r="F605" i="29"/>
  <c r="F606" i="29"/>
  <c r="F607" i="29"/>
  <c r="F608" i="29"/>
  <c r="F609" i="29"/>
  <c r="F610" i="29"/>
  <c r="F611" i="29"/>
  <c r="F612" i="29"/>
  <c r="F613" i="29"/>
  <c r="F614" i="29"/>
  <c r="F615" i="29"/>
  <c r="F616" i="29"/>
  <c r="F617" i="29"/>
  <c r="F618" i="29"/>
  <c r="F619" i="29"/>
  <c r="F620" i="29"/>
  <c r="F621" i="29"/>
  <c r="F622" i="29"/>
  <c r="F623" i="29"/>
  <c r="F624" i="29"/>
  <c r="F625" i="29"/>
  <c r="F626" i="29"/>
  <c r="F627" i="29"/>
  <c r="F628" i="29"/>
  <c r="F629" i="29"/>
  <c r="F630" i="29"/>
  <c r="F631" i="29"/>
  <c r="F632" i="29"/>
  <c r="F633" i="29"/>
  <c r="F634" i="29"/>
  <c r="F635" i="29"/>
  <c r="F636" i="29"/>
  <c r="F637" i="29"/>
  <c r="F638" i="29"/>
  <c r="F639" i="29"/>
  <c r="F640" i="29"/>
  <c r="F641" i="29"/>
  <c r="F642" i="29"/>
  <c r="F643" i="29"/>
  <c r="F644" i="29"/>
  <c r="F645" i="29"/>
  <c r="F646" i="29"/>
  <c r="F647" i="29"/>
  <c r="F648" i="29"/>
  <c r="F649" i="29"/>
  <c r="F650" i="29"/>
  <c r="F651" i="29"/>
  <c r="F652" i="29"/>
  <c r="F653" i="29"/>
  <c r="F654" i="29"/>
  <c r="F655" i="29"/>
  <c r="F656" i="29"/>
  <c r="F657" i="29"/>
  <c r="F658" i="29"/>
  <c r="F659" i="29"/>
  <c r="F660" i="29"/>
  <c r="F661" i="29"/>
  <c r="F662" i="29"/>
  <c r="F663" i="29"/>
  <c r="F664" i="29"/>
  <c r="F665" i="29"/>
  <c r="F666" i="29"/>
  <c r="F667" i="29"/>
  <c r="F668" i="29"/>
  <c r="F669" i="29"/>
  <c r="F670" i="29"/>
  <c r="F671" i="29"/>
  <c r="F672" i="29"/>
  <c r="F673" i="29"/>
  <c r="F674" i="29"/>
  <c r="F675" i="29"/>
  <c r="F676" i="29"/>
  <c r="F677" i="29"/>
  <c r="F678" i="29"/>
  <c r="F679" i="29"/>
  <c r="F680" i="29"/>
  <c r="F681" i="29"/>
  <c r="F682" i="29"/>
  <c r="F683" i="29"/>
  <c r="F684" i="29"/>
  <c r="F685" i="29"/>
  <c r="F686" i="29"/>
  <c r="F687" i="29"/>
  <c r="F688" i="29"/>
  <c r="F689" i="29"/>
  <c r="F690" i="29"/>
  <c r="F691" i="29"/>
  <c r="F692" i="29"/>
  <c r="F693" i="29"/>
  <c r="F694" i="29"/>
  <c r="F695" i="29"/>
  <c r="F696" i="29"/>
  <c r="F697" i="29"/>
  <c r="F698" i="29"/>
  <c r="F699" i="29"/>
  <c r="F700" i="29"/>
  <c r="F701" i="29"/>
  <c r="F702" i="29"/>
  <c r="F703" i="29"/>
  <c r="F704" i="29"/>
  <c r="F705" i="29"/>
  <c r="F706" i="29"/>
  <c r="F707" i="29"/>
  <c r="F708" i="29"/>
  <c r="F709" i="29"/>
  <c r="F710" i="29"/>
  <c r="F711" i="29"/>
  <c r="F712" i="29"/>
  <c r="F713" i="29"/>
  <c r="F714" i="29"/>
  <c r="F715" i="29"/>
  <c r="F716" i="29"/>
  <c r="F717" i="29"/>
  <c r="F718" i="29"/>
  <c r="F719" i="29"/>
  <c r="F720" i="29"/>
  <c r="F721" i="29"/>
  <c r="F722" i="29"/>
  <c r="F723" i="29"/>
  <c r="F724" i="29"/>
  <c r="F725" i="29"/>
  <c r="F726" i="29"/>
  <c r="F727" i="29"/>
  <c r="F728" i="29"/>
  <c r="F729" i="29"/>
  <c r="F730" i="29"/>
  <c r="F731" i="29"/>
  <c r="F732" i="29"/>
  <c r="F733" i="29"/>
  <c r="F734" i="29"/>
  <c r="F735" i="29"/>
  <c r="F736" i="29"/>
  <c r="F737" i="29"/>
  <c r="F738" i="29"/>
  <c r="F739" i="29"/>
  <c r="F740" i="29"/>
  <c r="F741" i="29"/>
  <c r="F742" i="29"/>
  <c r="F743" i="29"/>
  <c r="F744" i="29"/>
  <c r="F745" i="29"/>
  <c r="F746" i="29"/>
  <c r="F747" i="29"/>
  <c r="F748" i="29"/>
  <c r="F749" i="29"/>
  <c r="F750" i="29"/>
  <c r="F751" i="29"/>
  <c r="F752" i="29"/>
  <c r="F753" i="29"/>
  <c r="F754" i="29"/>
  <c r="F755" i="29"/>
  <c r="F756" i="29"/>
  <c r="F757" i="29"/>
  <c r="F758" i="29"/>
  <c r="F759" i="29"/>
  <c r="F760" i="29"/>
  <c r="F761" i="29"/>
  <c r="F762" i="29"/>
  <c r="F763" i="29"/>
  <c r="F764" i="29"/>
  <c r="F765" i="29"/>
  <c r="F766" i="29"/>
  <c r="F767" i="29"/>
  <c r="F768" i="29"/>
  <c r="F769" i="29"/>
  <c r="F770" i="29"/>
  <c r="F771" i="29"/>
  <c r="F772" i="29"/>
  <c r="F773" i="29"/>
  <c r="F774" i="29"/>
  <c r="F775" i="29"/>
  <c r="F776" i="29"/>
  <c r="F777" i="29"/>
  <c r="F778" i="29"/>
  <c r="F779" i="29"/>
  <c r="F780" i="29"/>
  <c r="F781" i="29"/>
  <c r="F782" i="29"/>
  <c r="F783" i="29"/>
  <c r="F784" i="29"/>
  <c r="F785" i="29"/>
  <c r="F786" i="29"/>
  <c r="F787" i="29"/>
  <c r="F788" i="29"/>
  <c r="F789" i="29"/>
  <c r="F790" i="29"/>
  <c r="F791" i="29"/>
  <c r="F792" i="29"/>
  <c r="F793" i="29"/>
  <c r="F794" i="29"/>
  <c r="F795" i="29"/>
  <c r="F796" i="29"/>
  <c r="F797" i="29"/>
  <c r="F798" i="29"/>
  <c r="F799" i="29"/>
  <c r="F800" i="29"/>
  <c r="F801" i="29"/>
  <c r="F802" i="29"/>
  <c r="F803" i="29"/>
  <c r="F804" i="29"/>
  <c r="F805" i="29"/>
  <c r="F806" i="29"/>
  <c r="F807" i="29"/>
  <c r="F808" i="29"/>
  <c r="F809" i="29"/>
  <c r="F810" i="29"/>
  <c r="F811" i="29"/>
  <c r="F812" i="29"/>
  <c r="F813" i="29"/>
  <c r="F814" i="29"/>
  <c r="F815" i="29"/>
  <c r="F816" i="29"/>
  <c r="F817" i="29"/>
  <c r="F818" i="29"/>
  <c r="F819" i="29"/>
  <c r="F820" i="29"/>
  <c r="F821" i="29"/>
  <c r="F822" i="29"/>
  <c r="F823" i="29"/>
  <c r="F824" i="29"/>
  <c r="F825" i="29"/>
  <c r="F826" i="29"/>
  <c r="F827" i="29"/>
  <c r="F828" i="29"/>
  <c r="F829" i="29"/>
  <c r="F830" i="29"/>
  <c r="F831" i="29"/>
  <c r="F832" i="29"/>
  <c r="F833" i="29"/>
  <c r="F834" i="29"/>
  <c r="F835" i="29"/>
  <c r="F836" i="29"/>
  <c r="F837" i="29"/>
  <c r="F838" i="29"/>
  <c r="F839" i="29"/>
  <c r="F840" i="29"/>
  <c r="F841" i="29"/>
  <c r="F842" i="29"/>
  <c r="F843" i="29"/>
  <c r="F844" i="29"/>
  <c r="F845" i="29"/>
  <c r="F846" i="29"/>
  <c r="F847" i="29"/>
  <c r="F848" i="29"/>
  <c r="F849" i="29"/>
  <c r="F850" i="29"/>
  <c r="F851" i="29"/>
  <c r="F852" i="29"/>
  <c r="F853" i="29"/>
  <c r="F854" i="29"/>
  <c r="F855" i="29"/>
  <c r="F856" i="29"/>
  <c r="F857" i="29"/>
  <c r="F858" i="29"/>
  <c r="F859" i="29"/>
  <c r="F860" i="29"/>
  <c r="F861" i="29"/>
  <c r="F862" i="29"/>
  <c r="F863" i="29"/>
  <c r="F864" i="29"/>
  <c r="F865" i="29"/>
  <c r="F866" i="29"/>
  <c r="F867" i="29"/>
  <c r="F868" i="29"/>
  <c r="F869" i="29"/>
  <c r="F870" i="29"/>
  <c r="F871" i="29"/>
  <c r="F872" i="29"/>
  <c r="F873" i="29"/>
  <c r="F874" i="29"/>
  <c r="F875" i="29"/>
  <c r="F876" i="29"/>
  <c r="F877" i="29"/>
  <c r="F878" i="29"/>
  <c r="F879" i="29"/>
  <c r="F880" i="29"/>
  <c r="F881" i="29"/>
  <c r="F882" i="29"/>
  <c r="F883" i="29"/>
  <c r="F884" i="29"/>
  <c r="F885" i="29"/>
  <c r="F886" i="29"/>
  <c r="F887" i="29"/>
  <c r="F888" i="29"/>
  <c r="F889" i="29"/>
  <c r="F890" i="29"/>
  <c r="F891" i="29"/>
  <c r="F892" i="29"/>
  <c r="F893" i="29"/>
  <c r="F894" i="29"/>
  <c r="F895" i="29"/>
  <c r="F896" i="29"/>
  <c r="F897" i="29"/>
  <c r="F898" i="29"/>
  <c r="F899" i="29"/>
  <c r="F900" i="29"/>
  <c r="F901" i="29"/>
  <c r="F902" i="29"/>
  <c r="F903" i="29"/>
  <c r="F904" i="29"/>
  <c r="F905" i="29"/>
  <c r="F906" i="29"/>
  <c r="F907" i="29"/>
  <c r="F908" i="29"/>
  <c r="F909" i="29"/>
  <c r="F910" i="29"/>
  <c r="F911" i="29"/>
  <c r="F912" i="29"/>
  <c r="F913" i="29"/>
  <c r="F914" i="29"/>
  <c r="F915" i="29"/>
  <c r="F916" i="29"/>
  <c r="F917" i="29"/>
  <c r="F918" i="29"/>
  <c r="F919" i="29"/>
  <c r="F920" i="29"/>
  <c r="F921" i="29"/>
  <c r="F922" i="29"/>
  <c r="F923" i="29"/>
  <c r="F924" i="29"/>
  <c r="F925" i="29"/>
  <c r="F926" i="29"/>
  <c r="F927" i="29"/>
  <c r="F928" i="29"/>
  <c r="F929" i="29"/>
  <c r="F930" i="29"/>
  <c r="F931" i="29"/>
  <c r="F932" i="29"/>
  <c r="F933" i="29"/>
  <c r="F934" i="29"/>
  <c r="F935" i="29"/>
  <c r="F936" i="29"/>
  <c r="F937" i="29"/>
  <c r="F938" i="29"/>
  <c r="F939" i="29"/>
  <c r="F940" i="29"/>
  <c r="F941" i="29"/>
  <c r="F942" i="29"/>
  <c r="F943" i="29"/>
  <c r="F944" i="29"/>
  <c r="F945" i="29"/>
  <c r="F946" i="29"/>
  <c r="F947" i="29"/>
  <c r="F948" i="29"/>
  <c r="F949" i="29"/>
  <c r="F950" i="29"/>
  <c r="F951" i="29"/>
  <c r="F952" i="29"/>
  <c r="F953" i="29"/>
  <c r="F954" i="29"/>
  <c r="F955" i="29"/>
  <c r="F956" i="29"/>
  <c r="F957" i="29"/>
  <c r="F958" i="29"/>
  <c r="F959" i="29"/>
  <c r="F960" i="29"/>
  <c r="F961" i="29"/>
  <c r="F962" i="29"/>
  <c r="F963" i="29"/>
  <c r="F964" i="29"/>
  <c r="F965" i="29"/>
  <c r="F966" i="29"/>
  <c r="F967" i="29"/>
  <c r="F968" i="29"/>
  <c r="F969" i="29"/>
  <c r="F970" i="29"/>
  <c r="F971" i="29"/>
  <c r="F972" i="29"/>
  <c r="F973" i="29"/>
  <c r="F974" i="29"/>
  <c r="F975" i="29"/>
  <c r="F976" i="29"/>
  <c r="F977" i="29"/>
  <c r="F978" i="29"/>
  <c r="F979" i="29"/>
  <c r="F980" i="29"/>
  <c r="F981" i="29"/>
  <c r="F982" i="29"/>
  <c r="F983" i="29"/>
  <c r="F984" i="29"/>
  <c r="F985" i="29"/>
  <c r="F986" i="29"/>
  <c r="F987" i="29"/>
  <c r="F988" i="29"/>
  <c r="F989" i="29"/>
  <c r="F990" i="29"/>
  <c r="F991" i="29"/>
  <c r="F992" i="29"/>
  <c r="F993" i="29"/>
  <c r="F994" i="29"/>
  <c r="F995" i="29"/>
  <c r="F996" i="29"/>
  <c r="F997" i="29"/>
  <c r="F998" i="29"/>
  <c r="F999" i="29"/>
  <c r="F1000" i="29"/>
  <c r="F1001" i="29"/>
  <c r="F1002" i="29"/>
  <c r="F1003" i="29"/>
  <c r="F1004" i="29"/>
  <c r="F3" i="29"/>
  <c r="E3" i="29"/>
  <c r="E4" i="29"/>
  <c r="E5"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96" i="29"/>
  <c r="E97" i="29"/>
  <c r="E98" i="29"/>
  <c r="E99" i="29"/>
  <c r="E100" i="29"/>
  <c r="E101" i="29"/>
  <c r="E102" i="29"/>
  <c r="E103" i="29"/>
  <c r="E104" i="29"/>
  <c r="E105" i="29"/>
  <c r="E106" i="29"/>
  <c r="E107" i="29"/>
  <c r="E108" i="29"/>
  <c r="E109" i="29"/>
  <c r="E110" i="29"/>
  <c r="E111" i="29"/>
  <c r="E112" i="29"/>
  <c r="E113" i="29"/>
  <c r="E114" i="29"/>
  <c r="E115" i="29"/>
  <c r="E116" i="29"/>
  <c r="E117" i="29"/>
  <c r="E118" i="29"/>
  <c r="E119" i="29"/>
  <c r="E120" i="29"/>
  <c r="E121" i="29"/>
  <c r="E122" i="29"/>
  <c r="E123" i="29"/>
  <c r="E124" i="29"/>
  <c r="E125" i="29"/>
  <c r="E126" i="29"/>
  <c r="E127" i="29"/>
  <c r="E128" i="29"/>
  <c r="E129" i="29"/>
  <c r="E130" i="29"/>
  <c r="E131" i="29"/>
  <c r="E132" i="29"/>
  <c r="E133" i="29"/>
  <c r="E134" i="29"/>
  <c r="E135" i="29"/>
  <c r="E136" i="29"/>
  <c r="E137" i="29"/>
  <c r="E138" i="29"/>
  <c r="E139" i="29"/>
  <c r="E140" i="29"/>
  <c r="E141" i="29"/>
  <c r="E142" i="29"/>
  <c r="E143" i="29"/>
  <c r="E144" i="29"/>
  <c r="E145" i="29"/>
  <c r="E146" i="29"/>
  <c r="E147" i="29"/>
  <c r="E148" i="29"/>
  <c r="E149" i="29"/>
  <c r="E150" i="29"/>
  <c r="E151" i="29"/>
  <c r="E152" i="29"/>
  <c r="E153" i="29"/>
  <c r="E154" i="29"/>
  <c r="E155" i="29"/>
  <c r="E156" i="29"/>
  <c r="E157" i="29"/>
  <c r="E158" i="29"/>
  <c r="E159" i="29"/>
  <c r="E160" i="29"/>
  <c r="E161" i="29"/>
  <c r="E162" i="29"/>
  <c r="E163" i="29"/>
  <c r="E164" i="29"/>
  <c r="E165" i="29"/>
  <c r="E166" i="29"/>
  <c r="E167" i="29"/>
  <c r="E168" i="29"/>
  <c r="E169" i="29"/>
  <c r="E170" i="29"/>
  <c r="E171" i="29"/>
  <c r="E172" i="29"/>
  <c r="E173" i="29"/>
  <c r="E174" i="29"/>
  <c r="E175" i="29"/>
  <c r="E176" i="29"/>
  <c r="E177" i="29"/>
  <c r="E178" i="29"/>
  <c r="E179" i="29"/>
  <c r="E180" i="29"/>
  <c r="E181" i="29"/>
  <c r="E182" i="29"/>
  <c r="E183" i="29"/>
  <c r="E184" i="29"/>
  <c r="E185" i="29"/>
  <c r="E186" i="29"/>
  <c r="E187" i="29"/>
  <c r="E188" i="29"/>
  <c r="E189" i="29"/>
  <c r="E190" i="29"/>
  <c r="E191" i="29"/>
  <c r="E192" i="29"/>
  <c r="E193" i="29"/>
  <c r="E194" i="29"/>
  <c r="E195" i="29"/>
  <c r="E196" i="29"/>
  <c r="E197" i="29"/>
  <c r="E198" i="29"/>
  <c r="E199" i="29"/>
  <c r="E200" i="29"/>
  <c r="E201" i="29"/>
  <c r="E202" i="29"/>
  <c r="E203" i="29"/>
  <c r="E204" i="29"/>
  <c r="E205" i="29"/>
  <c r="E206" i="29"/>
  <c r="E207" i="29"/>
  <c r="E208" i="29"/>
  <c r="E209" i="29"/>
  <c r="E210" i="29"/>
  <c r="E211" i="29"/>
  <c r="E212" i="29"/>
  <c r="E213" i="29"/>
  <c r="E214" i="29"/>
  <c r="E215" i="29"/>
  <c r="E216" i="29"/>
  <c r="E217" i="29"/>
  <c r="E218" i="29"/>
  <c r="E219" i="29"/>
  <c r="E220" i="29"/>
  <c r="E221" i="29"/>
  <c r="E222" i="29"/>
  <c r="E223" i="29"/>
  <c r="E224" i="29"/>
  <c r="E225" i="29"/>
  <c r="E226" i="29"/>
  <c r="E227" i="29"/>
  <c r="E228" i="29"/>
  <c r="E229" i="29"/>
  <c r="E230" i="29"/>
  <c r="E231" i="29"/>
  <c r="E232" i="29"/>
  <c r="E233" i="29"/>
  <c r="E234" i="29"/>
  <c r="E235" i="29"/>
  <c r="E236" i="29"/>
  <c r="E237" i="29"/>
  <c r="E238" i="29"/>
  <c r="E239" i="29"/>
  <c r="E240" i="29"/>
  <c r="E241" i="29"/>
  <c r="E242" i="29"/>
  <c r="E243" i="29"/>
  <c r="E244" i="29"/>
  <c r="E245" i="29"/>
  <c r="E246" i="29"/>
  <c r="E247" i="29"/>
  <c r="E248" i="29"/>
  <c r="E249" i="29"/>
  <c r="E250" i="29"/>
  <c r="E251" i="29"/>
  <c r="E252" i="29"/>
  <c r="E253" i="29"/>
  <c r="E254" i="29"/>
  <c r="E255" i="29"/>
  <c r="E256" i="29"/>
  <c r="E257" i="29"/>
  <c r="E258" i="29"/>
  <c r="E259" i="29"/>
  <c r="E260" i="29"/>
  <c r="E261" i="29"/>
  <c r="E262" i="29"/>
  <c r="E263" i="29"/>
  <c r="E264" i="29"/>
  <c r="E265" i="29"/>
  <c r="E266" i="29"/>
  <c r="E267" i="29"/>
  <c r="E268" i="29"/>
  <c r="E269" i="29"/>
  <c r="E270" i="29"/>
  <c r="E271" i="29"/>
  <c r="E272" i="29"/>
  <c r="E273" i="29"/>
  <c r="E274" i="29"/>
  <c r="E275" i="29"/>
  <c r="E276" i="29"/>
  <c r="E277" i="29"/>
  <c r="E278" i="29"/>
  <c r="E279" i="29"/>
  <c r="E280" i="29"/>
  <c r="E281" i="29"/>
  <c r="E282" i="29"/>
  <c r="E283" i="29"/>
  <c r="E284" i="29"/>
  <c r="E285" i="29"/>
  <c r="E286" i="29"/>
  <c r="E287" i="29"/>
  <c r="E288" i="29"/>
  <c r="E289" i="29"/>
  <c r="E290" i="29"/>
  <c r="E291" i="29"/>
  <c r="E292" i="29"/>
  <c r="E293" i="29"/>
  <c r="E294" i="29"/>
  <c r="E295" i="29"/>
  <c r="E296" i="29"/>
  <c r="E297" i="29"/>
  <c r="E298" i="29"/>
  <c r="E299" i="29"/>
  <c r="E300" i="29"/>
  <c r="E301" i="29"/>
  <c r="E302" i="29"/>
  <c r="E303" i="29"/>
  <c r="E304" i="29"/>
  <c r="E305" i="29"/>
  <c r="E306" i="29"/>
  <c r="E307" i="29"/>
  <c r="E308" i="29"/>
  <c r="E309" i="29"/>
  <c r="E310" i="29"/>
  <c r="E311" i="29"/>
  <c r="E312" i="29"/>
  <c r="E313" i="29"/>
  <c r="E314" i="29"/>
  <c r="E315" i="29"/>
  <c r="E316" i="29"/>
  <c r="E317" i="29"/>
  <c r="E318" i="29"/>
  <c r="E319" i="29"/>
  <c r="E320" i="29"/>
  <c r="E321" i="29"/>
  <c r="E322" i="29"/>
  <c r="E323" i="29"/>
  <c r="E324" i="29"/>
  <c r="E325" i="29"/>
  <c r="E326" i="29"/>
  <c r="E327" i="29"/>
  <c r="E328" i="29"/>
  <c r="E329" i="29"/>
  <c r="E330" i="29"/>
  <c r="E331" i="29"/>
  <c r="E332" i="29"/>
  <c r="E333" i="29"/>
  <c r="E334" i="29"/>
  <c r="E335" i="29"/>
  <c r="E336" i="29"/>
  <c r="E337" i="29"/>
  <c r="E338" i="29"/>
  <c r="E339" i="29"/>
  <c r="E340" i="29"/>
  <c r="E341" i="29"/>
  <c r="E342" i="29"/>
  <c r="E343" i="29"/>
  <c r="E344" i="29"/>
  <c r="E345" i="29"/>
  <c r="E346" i="29"/>
  <c r="E347" i="29"/>
  <c r="E348" i="29"/>
  <c r="E349" i="29"/>
  <c r="E350" i="29"/>
  <c r="E351" i="29"/>
  <c r="E352" i="29"/>
  <c r="E353" i="29"/>
  <c r="E354" i="29"/>
  <c r="E355" i="29"/>
  <c r="E356" i="29"/>
  <c r="E357" i="29"/>
  <c r="E358" i="29"/>
  <c r="E359" i="29"/>
  <c r="E360" i="29"/>
  <c r="E361" i="29"/>
  <c r="E362" i="29"/>
  <c r="E363" i="29"/>
  <c r="E364" i="29"/>
  <c r="E365" i="29"/>
  <c r="E366" i="29"/>
  <c r="E367" i="29"/>
  <c r="E368" i="29"/>
  <c r="E369" i="29"/>
  <c r="E370" i="29"/>
  <c r="E371" i="29"/>
  <c r="E372" i="29"/>
  <c r="E373" i="29"/>
  <c r="E374" i="29"/>
  <c r="E375" i="29"/>
  <c r="E376" i="29"/>
  <c r="E377" i="29"/>
  <c r="E378" i="29"/>
  <c r="E379" i="29"/>
  <c r="E380" i="29"/>
  <c r="E381" i="29"/>
  <c r="E382" i="29"/>
  <c r="E383" i="29"/>
  <c r="E384" i="29"/>
  <c r="E385" i="29"/>
  <c r="E386" i="29"/>
  <c r="E387" i="29"/>
  <c r="E388" i="29"/>
  <c r="E389" i="29"/>
  <c r="E390" i="29"/>
  <c r="E391" i="29"/>
  <c r="E392" i="29"/>
  <c r="E393" i="29"/>
  <c r="E394" i="29"/>
  <c r="E395" i="29"/>
  <c r="E396" i="29"/>
  <c r="E397" i="29"/>
  <c r="E398" i="29"/>
  <c r="E399" i="29"/>
  <c r="E400" i="29"/>
  <c r="E401" i="29"/>
  <c r="E402" i="29"/>
  <c r="E403" i="29"/>
  <c r="E404" i="29"/>
  <c r="E405" i="29"/>
  <c r="E406" i="29"/>
  <c r="E407" i="29"/>
  <c r="E408" i="29"/>
  <c r="E409" i="29"/>
  <c r="E410" i="29"/>
  <c r="E411" i="29"/>
  <c r="E412" i="29"/>
  <c r="E413" i="29"/>
  <c r="E414" i="29"/>
  <c r="E415" i="29"/>
  <c r="E416" i="29"/>
  <c r="E417" i="29"/>
  <c r="E418" i="29"/>
  <c r="E419" i="29"/>
  <c r="E420" i="29"/>
  <c r="E421" i="29"/>
  <c r="E422" i="29"/>
  <c r="E423" i="29"/>
  <c r="E424" i="29"/>
  <c r="E425" i="29"/>
  <c r="E426" i="29"/>
  <c r="E427" i="29"/>
  <c r="E428" i="29"/>
  <c r="E429" i="29"/>
  <c r="E430" i="29"/>
  <c r="E431" i="29"/>
  <c r="E432" i="29"/>
  <c r="E433" i="29"/>
  <c r="E434" i="29"/>
  <c r="E435" i="29"/>
  <c r="E436" i="29"/>
  <c r="E437" i="29"/>
  <c r="E438" i="29"/>
  <c r="E439" i="29"/>
  <c r="E440" i="29"/>
  <c r="E441" i="29"/>
  <c r="E442" i="29"/>
  <c r="E443" i="29"/>
  <c r="E444" i="29"/>
  <c r="E445" i="29"/>
  <c r="E446" i="29"/>
  <c r="E447" i="29"/>
  <c r="E448" i="29"/>
  <c r="E449" i="29"/>
  <c r="E450" i="29"/>
  <c r="E451" i="29"/>
  <c r="E452" i="29"/>
  <c r="E453" i="29"/>
  <c r="E454" i="29"/>
  <c r="E455" i="29"/>
  <c r="E456" i="29"/>
  <c r="E457" i="29"/>
  <c r="E458" i="29"/>
  <c r="E459" i="29"/>
  <c r="E460" i="29"/>
  <c r="E461" i="29"/>
  <c r="E462" i="29"/>
  <c r="E463" i="29"/>
  <c r="E464" i="29"/>
  <c r="E465" i="29"/>
  <c r="E466" i="29"/>
  <c r="E467" i="29"/>
  <c r="E468" i="29"/>
  <c r="E469" i="29"/>
  <c r="E470" i="29"/>
  <c r="E471" i="29"/>
  <c r="E472" i="29"/>
  <c r="E473" i="29"/>
  <c r="E474" i="29"/>
  <c r="E475" i="29"/>
  <c r="E476" i="29"/>
  <c r="E477" i="29"/>
  <c r="E478" i="29"/>
  <c r="E479" i="29"/>
  <c r="E480" i="29"/>
  <c r="E481" i="29"/>
  <c r="E482" i="29"/>
  <c r="E483" i="29"/>
  <c r="E484" i="29"/>
  <c r="E485" i="29"/>
  <c r="E486" i="29"/>
  <c r="E487" i="29"/>
  <c r="E488" i="29"/>
  <c r="E489" i="29"/>
  <c r="E490" i="29"/>
  <c r="E491" i="29"/>
  <c r="E492" i="29"/>
  <c r="E493" i="29"/>
  <c r="E494" i="29"/>
  <c r="E495" i="29"/>
  <c r="E496" i="29"/>
  <c r="E497" i="29"/>
  <c r="E498" i="29"/>
  <c r="E499" i="29"/>
  <c r="E500" i="29"/>
  <c r="E501" i="29"/>
  <c r="E502" i="29"/>
  <c r="E503" i="29"/>
  <c r="E504" i="29"/>
  <c r="E505" i="29"/>
  <c r="E506" i="29"/>
  <c r="E507" i="29"/>
  <c r="E508" i="29"/>
  <c r="E509" i="29"/>
  <c r="E510" i="29"/>
  <c r="E511" i="29"/>
  <c r="E512" i="29"/>
  <c r="E513" i="29"/>
  <c r="E514" i="29"/>
  <c r="E515" i="29"/>
  <c r="E516" i="29"/>
  <c r="E517" i="29"/>
  <c r="E518" i="29"/>
  <c r="E519" i="29"/>
  <c r="E520" i="29"/>
  <c r="E521" i="29"/>
  <c r="E522" i="29"/>
  <c r="E523" i="29"/>
  <c r="E524" i="29"/>
  <c r="E525" i="29"/>
  <c r="E526" i="29"/>
  <c r="E527" i="29"/>
  <c r="E528" i="29"/>
  <c r="E529" i="29"/>
  <c r="E530" i="29"/>
  <c r="E531" i="29"/>
  <c r="E532" i="29"/>
  <c r="E533" i="29"/>
  <c r="E534" i="29"/>
  <c r="E535" i="29"/>
  <c r="E536" i="29"/>
  <c r="E537" i="29"/>
  <c r="E538" i="29"/>
  <c r="E539" i="29"/>
  <c r="E540" i="29"/>
  <c r="E541" i="29"/>
  <c r="E542" i="29"/>
  <c r="E543" i="29"/>
  <c r="E544" i="29"/>
  <c r="E545" i="29"/>
  <c r="E546" i="29"/>
  <c r="E547" i="29"/>
  <c r="E548" i="29"/>
  <c r="E549" i="29"/>
  <c r="E550" i="29"/>
  <c r="E551" i="29"/>
  <c r="E552" i="29"/>
  <c r="E553" i="29"/>
  <c r="E554" i="29"/>
  <c r="E555" i="29"/>
  <c r="E556" i="29"/>
  <c r="E557" i="29"/>
  <c r="E558" i="29"/>
  <c r="E559" i="29"/>
  <c r="E560" i="29"/>
  <c r="E561" i="29"/>
  <c r="E562" i="29"/>
  <c r="E563" i="29"/>
  <c r="E564" i="29"/>
  <c r="E565" i="29"/>
  <c r="E566" i="29"/>
  <c r="E567" i="29"/>
  <c r="E568" i="29"/>
  <c r="E569" i="29"/>
  <c r="E570" i="29"/>
  <c r="E571" i="29"/>
  <c r="E572" i="29"/>
  <c r="E573" i="29"/>
  <c r="E574" i="29"/>
  <c r="E575" i="29"/>
  <c r="E576" i="29"/>
  <c r="E577" i="29"/>
  <c r="E578" i="29"/>
  <c r="E579" i="29"/>
  <c r="E580" i="29"/>
  <c r="E581" i="29"/>
  <c r="E582" i="29"/>
  <c r="E583" i="29"/>
  <c r="E584" i="29"/>
  <c r="E585" i="29"/>
  <c r="E586" i="29"/>
  <c r="E587" i="29"/>
  <c r="E588" i="29"/>
  <c r="E589" i="29"/>
  <c r="E590" i="29"/>
  <c r="E591" i="29"/>
  <c r="E592" i="29"/>
  <c r="E593" i="29"/>
  <c r="E594" i="29"/>
  <c r="E595" i="29"/>
  <c r="E596" i="29"/>
  <c r="E597" i="29"/>
  <c r="E598" i="29"/>
  <c r="E599" i="29"/>
  <c r="E600" i="29"/>
  <c r="E601" i="29"/>
  <c r="E602" i="29"/>
  <c r="E603" i="29"/>
  <c r="E604" i="29"/>
  <c r="E605" i="29"/>
  <c r="E606" i="29"/>
  <c r="E607" i="29"/>
  <c r="E608" i="29"/>
  <c r="E609" i="29"/>
  <c r="E610" i="29"/>
  <c r="E611" i="29"/>
  <c r="E612" i="29"/>
  <c r="E613" i="29"/>
  <c r="E614" i="29"/>
  <c r="E615" i="29"/>
  <c r="E616" i="29"/>
  <c r="E617" i="29"/>
  <c r="E618" i="29"/>
  <c r="E619" i="29"/>
  <c r="E620" i="29"/>
  <c r="E621" i="29"/>
  <c r="E622" i="29"/>
  <c r="E623" i="29"/>
  <c r="E624" i="29"/>
  <c r="E625" i="29"/>
  <c r="E626" i="29"/>
  <c r="E627" i="29"/>
  <c r="E628" i="29"/>
  <c r="E629" i="29"/>
  <c r="E630" i="29"/>
  <c r="E631" i="29"/>
  <c r="E632" i="29"/>
  <c r="E633" i="29"/>
  <c r="E634" i="29"/>
  <c r="E635" i="29"/>
  <c r="E636" i="29"/>
  <c r="E637" i="29"/>
  <c r="E638" i="29"/>
  <c r="E639" i="29"/>
  <c r="E640" i="29"/>
  <c r="E641" i="29"/>
  <c r="E642" i="29"/>
  <c r="E643" i="29"/>
  <c r="E644" i="29"/>
  <c r="E645" i="29"/>
  <c r="E646" i="29"/>
  <c r="E647" i="29"/>
  <c r="E648" i="29"/>
  <c r="E649" i="29"/>
  <c r="E650" i="29"/>
  <c r="E651" i="29"/>
  <c r="E652" i="29"/>
  <c r="E653" i="29"/>
  <c r="E654" i="29"/>
  <c r="E655" i="29"/>
  <c r="E656" i="29"/>
  <c r="E657" i="29"/>
  <c r="E658" i="29"/>
  <c r="E659" i="29"/>
  <c r="E660" i="29"/>
  <c r="E661" i="29"/>
  <c r="E662" i="29"/>
  <c r="E663" i="29"/>
  <c r="E664" i="29"/>
  <c r="E665" i="29"/>
  <c r="E666" i="29"/>
  <c r="E667" i="29"/>
  <c r="E668" i="29"/>
  <c r="E669" i="29"/>
  <c r="E670" i="29"/>
  <c r="E671" i="29"/>
  <c r="E672" i="29"/>
  <c r="E673" i="29"/>
  <c r="E674" i="29"/>
  <c r="E675" i="29"/>
  <c r="E676" i="29"/>
  <c r="E677" i="29"/>
  <c r="E678" i="29"/>
  <c r="E679" i="29"/>
  <c r="E680" i="29"/>
  <c r="E681" i="29"/>
  <c r="E682" i="29"/>
  <c r="E683" i="29"/>
  <c r="E684" i="29"/>
  <c r="E685" i="29"/>
  <c r="E686" i="29"/>
  <c r="E687" i="29"/>
  <c r="E688" i="29"/>
  <c r="E689" i="29"/>
  <c r="E690" i="29"/>
  <c r="E691" i="29"/>
  <c r="E692" i="29"/>
  <c r="E693" i="29"/>
  <c r="E694" i="29"/>
  <c r="E695" i="29"/>
  <c r="E696" i="29"/>
  <c r="E697" i="29"/>
  <c r="E698" i="29"/>
  <c r="E699" i="29"/>
  <c r="E700" i="29"/>
  <c r="E701" i="29"/>
  <c r="E702" i="29"/>
  <c r="E703" i="29"/>
  <c r="E704" i="29"/>
  <c r="E705" i="29"/>
  <c r="E706" i="29"/>
  <c r="E707" i="29"/>
  <c r="E708" i="29"/>
  <c r="E709" i="29"/>
  <c r="E710" i="29"/>
  <c r="E711" i="29"/>
  <c r="E712" i="29"/>
  <c r="E713" i="29"/>
  <c r="E714" i="29"/>
  <c r="E715" i="29"/>
  <c r="E716" i="29"/>
  <c r="E717" i="29"/>
  <c r="E718" i="29"/>
  <c r="E719" i="29"/>
  <c r="E720" i="29"/>
  <c r="E721" i="29"/>
  <c r="E722" i="29"/>
  <c r="E723" i="29"/>
  <c r="E724" i="29"/>
  <c r="E725" i="29"/>
  <c r="E726" i="29"/>
  <c r="E727" i="29"/>
  <c r="E728" i="29"/>
  <c r="E729" i="29"/>
  <c r="E730" i="29"/>
  <c r="E731" i="29"/>
  <c r="E732" i="29"/>
  <c r="E733" i="29"/>
  <c r="E734" i="29"/>
  <c r="E735" i="29"/>
  <c r="E736" i="29"/>
  <c r="E737" i="29"/>
  <c r="E738" i="29"/>
  <c r="E739" i="29"/>
  <c r="E740" i="29"/>
  <c r="E741" i="29"/>
  <c r="E742" i="29"/>
  <c r="E743" i="29"/>
  <c r="E744" i="29"/>
  <c r="E745" i="29"/>
  <c r="E746" i="29"/>
  <c r="E747" i="29"/>
  <c r="E748" i="29"/>
  <c r="E749" i="29"/>
  <c r="E750" i="29"/>
  <c r="E751" i="29"/>
  <c r="E752" i="29"/>
  <c r="E753" i="29"/>
  <c r="E754" i="29"/>
  <c r="E755" i="29"/>
  <c r="E756" i="29"/>
  <c r="E757" i="29"/>
  <c r="E758" i="29"/>
  <c r="E759" i="29"/>
  <c r="E760" i="29"/>
  <c r="E761" i="29"/>
  <c r="E762" i="29"/>
  <c r="E763" i="29"/>
  <c r="E764" i="29"/>
  <c r="E765" i="29"/>
  <c r="E766" i="29"/>
  <c r="E767" i="29"/>
  <c r="E768" i="29"/>
  <c r="E769" i="29"/>
  <c r="E770" i="29"/>
  <c r="E771" i="29"/>
  <c r="E772" i="29"/>
  <c r="E773" i="29"/>
  <c r="E774" i="29"/>
  <c r="E775" i="29"/>
  <c r="E776" i="29"/>
  <c r="E777" i="29"/>
  <c r="E778" i="29"/>
  <c r="E779" i="29"/>
  <c r="E780" i="29"/>
  <c r="E781" i="29"/>
  <c r="E782" i="29"/>
  <c r="E783" i="29"/>
  <c r="E784" i="29"/>
  <c r="E785" i="29"/>
  <c r="E786" i="29"/>
  <c r="E787" i="29"/>
  <c r="E788" i="29"/>
  <c r="E789" i="29"/>
  <c r="E790" i="29"/>
  <c r="E791" i="29"/>
  <c r="E792" i="29"/>
  <c r="E793" i="29"/>
  <c r="E794" i="29"/>
  <c r="E795" i="29"/>
  <c r="E796" i="29"/>
  <c r="E797" i="29"/>
  <c r="E798" i="29"/>
  <c r="E799" i="29"/>
  <c r="E800" i="29"/>
  <c r="E801" i="29"/>
  <c r="E802" i="29"/>
  <c r="E803" i="29"/>
  <c r="E804" i="29"/>
  <c r="E805" i="29"/>
  <c r="E806" i="29"/>
  <c r="E807" i="29"/>
  <c r="E808" i="29"/>
  <c r="E809" i="29"/>
  <c r="E810" i="29"/>
  <c r="E811" i="29"/>
  <c r="E812" i="29"/>
  <c r="E813" i="29"/>
  <c r="E814" i="29"/>
  <c r="E815" i="29"/>
  <c r="E816" i="29"/>
  <c r="E817" i="29"/>
  <c r="E818" i="29"/>
  <c r="E819" i="29"/>
  <c r="E820" i="29"/>
  <c r="E821" i="29"/>
  <c r="E822" i="29"/>
  <c r="E823" i="29"/>
  <c r="E824" i="29"/>
  <c r="E825" i="29"/>
  <c r="E826" i="29"/>
  <c r="E827" i="29"/>
  <c r="E828" i="29"/>
  <c r="E829" i="29"/>
  <c r="E830" i="29"/>
  <c r="E831" i="29"/>
  <c r="E832" i="29"/>
  <c r="E833" i="29"/>
  <c r="E834" i="29"/>
  <c r="E835" i="29"/>
  <c r="E836" i="29"/>
  <c r="E837" i="29"/>
  <c r="E838" i="29"/>
  <c r="E839" i="29"/>
  <c r="E840" i="29"/>
  <c r="E841" i="29"/>
  <c r="E842" i="29"/>
  <c r="E843" i="29"/>
  <c r="E844" i="29"/>
  <c r="E845" i="29"/>
  <c r="E846" i="29"/>
  <c r="E847" i="29"/>
  <c r="E848" i="29"/>
  <c r="E849" i="29"/>
  <c r="E850" i="29"/>
  <c r="E851" i="29"/>
  <c r="E852" i="29"/>
  <c r="E853" i="29"/>
  <c r="E854" i="29"/>
  <c r="E855" i="29"/>
  <c r="E856" i="29"/>
  <c r="E857" i="29"/>
  <c r="E858" i="29"/>
  <c r="E859" i="29"/>
  <c r="E860" i="29"/>
  <c r="E861" i="29"/>
  <c r="E862" i="29"/>
  <c r="E863" i="29"/>
  <c r="E864" i="29"/>
  <c r="E865" i="29"/>
  <c r="E866" i="29"/>
  <c r="E867" i="29"/>
  <c r="E868" i="29"/>
  <c r="E869" i="29"/>
  <c r="E870" i="29"/>
  <c r="E871" i="29"/>
  <c r="E872" i="29"/>
  <c r="E873" i="29"/>
  <c r="E874" i="29"/>
  <c r="E875" i="29"/>
  <c r="E876" i="29"/>
  <c r="E877" i="29"/>
  <c r="E878" i="29"/>
  <c r="E879" i="29"/>
  <c r="E880" i="29"/>
  <c r="E881" i="29"/>
  <c r="E882" i="29"/>
  <c r="E883" i="29"/>
  <c r="E884" i="29"/>
  <c r="E885" i="29"/>
  <c r="E886" i="29"/>
  <c r="E887" i="29"/>
  <c r="E888" i="29"/>
  <c r="E889" i="29"/>
  <c r="E890" i="29"/>
  <c r="E891" i="29"/>
  <c r="E892" i="29"/>
  <c r="E893" i="29"/>
  <c r="E894" i="29"/>
  <c r="E895" i="29"/>
  <c r="E896" i="29"/>
  <c r="E897" i="29"/>
  <c r="E898" i="29"/>
  <c r="E899" i="29"/>
  <c r="E900" i="29"/>
  <c r="E901" i="29"/>
  <c r="E902" i="29"/>
  <c r="E903" i="29"/>
  <c r="E904" i="29"/>
  <c r="E905" i="29"/>
  <c r="E906" i="29"/>
  <c r="E907" i="29"/>
  <c r="E908" i="29"/>
  <c r="E909" i="29"/>
  <c r="E910" i="29"/>
  <c r="E911" i="29"/>
  <c r="E912" i="29"/>
  <c r="E913" i="29"/>
  <c r="E914" i="29"/>
  <c r="E915" i="29"/>
  <c r="E916" i="29"/>
  <c r="E917" i="29"/>
  <c r="E918" i="29"/>
  <c r="E919" i="29"/>
  <c r="E920" i="29"/>
  <c r="E921" i="29"/>
  <c r="E922" i="29"/>
  <c r="E923" i="29"/>
  <c r="E924" i="29"/>
  <c r="E925" i="29"/>
  <c r="E926" i="29"/>
  <c r="E927" i="29"/>
  <c r="E928" i="29"/>
  <c r="E929" i="29"/>
  <c r="E930" i="29"/>
  <c r="E931" i="29"/>
  <c r="E932" i="29"/>
  <c r="E933" i="29"/>
  <c r="E934" i="29"/>
  <c r="E935" i="29"/>
  <c r="E936" i="29"/>
  <c r="E937" i="29"/>
  <c r="E938" i="29"/>
  <c r="E939" i="29"/>
  <c r="E940" i="29"/>
  <c r="E941" i="29"/>
  <c r="E942" i="29"/>
  <c r="E943" i="29"/>
  <c r="E944" i="29"/>
  <c r="E945" i="29"/>
  <c r="E946" i="29"/>
  <c r="E947" i="29"/>
  <c r="E948" i="29"/>
  <c r="E949" i="29"/>
  <c r="E950" i="29"/>
  <c r="E951" i="29"/>
  <c r="E952" i="29"/>
  <c r="E953" i="29"/>
  <c r="E954" i="29"/>
  <c r="E955" i="29"/>
  <c r="E956" i="29"/>
  <c r="E957" i="29"/>
  <c r="E958" i="29"/>
  <c r="E959" i="29"/>
  <c r="E960" i="29"/>
  <c r="E961" i="29"/>
  <c r="E962" i="29"/>
  <c r="E963" i="29"/>
  <c r="E964" i="29"/>
  <c r="E965" i="29"/>
  <c r="E966" i="29"/>
  <c r="E967" i="29"/>
  <c r="E968" i="29"/>
  <c r="E969" i="29"/>
  <c r="E970" i="29"/>
  <c r="E971" i="29"/>
  <c r="E972" i="29"/>
  <c r="E973" i="29"/>
  <c r="E974" i="29"/>
  <c r="E975" i="29"/>
  <c r="E976" i="29"/>
  <c r="E977" i="29"/>
  <c r="E978" i="29"/>
  <c r="E979" i="29"/>
  <c r="E980" i="29"/>
  <c r="E981" i="29"/>
  <c r="E982" i="29"/>
  <c r="E983" i="29"/>
  <c r="E984" i="29"/>
  <c r="E985" i="29"/>
  <c r="E986" i="29"/>
  <c r="E987" i="29"/>
  <c r="E988" i="29"/>
  <c r="E989" i="29"/>
  <c r="E990" i="29"/>
  <c r="E991" i="29"/>
  <c r="E992" i="29"/>
  <c r="E993" i="29"/>
  <c r="E994" i="29"/>
  <c r="E995" i="29"/>
  <c r="E996" i="29"/>
  <c r="E997" i="29"/>
  <c r="E998" i="29"/>
  <c r="E999" i="29"/>
  <c r="E1000" i="29"/>
  <c r="E1001" i="29"/>
  <c r="E1002" i="29"/>
  <c r="E1003" i="29"/>
  <c r="E1004" i="29"/>
  <c r="D4" i="29" l="1"/>
  <c r="D5"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98" i="29"/>
  <c r="D99" i="29"/>
  <c r="D100" i="29"/>
  <c r="D101" i="29"/>
  <c r="D102" i="29"/>
  <c r="D103" i="29"/>
  <c r="D104" i="29"/>
  <c r="D105" i="29"/>
  <c r="D106" i="29"/>
  <c r="D107" i="29"/>
  <c r="D108" i="29"/>
  <c r="D109" i="29"/>
  <c r="D110" i="29"/>
  <c r="D111" i="29"/>
  <c r="D112" i="29"/>
  <c r="D113" i="29"/>
  <c r="D114" i="29"/>
  <c r="D115" i="29"/>
  <c r="D116" i="29"/>
  <c r="D117" i="29"/>
  <c r="D118" i="29"/>
  <c r="D119" i="29"/>
  <c r="D120" i="29"/>
  <c r="D121" i="29"/>
  <c r="D122" i="29"/>
  <c r="D123" i="29"/>
  <c r="D124" i="29"/>
  <c r="D125" i="29"/>
  <c r="D126" i="29"/>
  <c r="D127" i="29"/>
  <c r="D128" i="29"/>
  <c r="D129" i="29"/>
  <c r="D130" i="29"/>
  <c r="D131" i="29"/>
  <c r="D132" i="29"/>
  <c r="D133" i="29"/>
  <c r="D134" i="29"/>
  <c r="D135" i="29"/>
  <c r="D136" i="29"/>
  <c r="D137" i="29"/>
  <c r="D138" i="29"/>
  <c r="D139" i="29"/>
  <c r="D140" i="29"/>
  <c r="D141" i="29"/>
  <c r="D142" i="29"/>
  <c r="D143" i="29"/>
  <c r="D144" i="29"/>
  <c r="D145" i="29"/>
  <c r="D146" i="29"/>
  <c r="D147" i="29"/>
  <c r="D148" i="29"/>
  <c r="D149" i="29"/>
  <c r="D150" i="29"/>
  <c r="D151" i="29"/>
  <c r="D152" i="29"/>
  <c r="D153" i="29"/>
  <c r="D154" i="29"/>
  <c r="D155" i="29"/>
  <c r="D156" i="29"/>
  <c r="D157" i="29"/>
  <c r="D158" i="29"/>
  <c r="D159" i="29"/>
  <c r="D160" i="29"/>
  <c r="D161" i="29"/>
  <c r="D162" i="29"/>
  <c r="D163" i="29"/>
  <c r="D164" i="29"/>
  <c r="D165" i="29"/>
  <c r="D166" i="29"/>
  <c r="D167" i="29"/>
  <c r="D168" i="29"/>
  <c r="D169" i="29"/>
  <c r="D170" i="29"/>
  <c r="D171" i="29"/>
  <c r="D172" i="29"/>
  <c r="D173" i="29"/>
  <c r="D174" i="29"/>
  <c r="D175" i="29"/>
  <c r="D176" i="29"/>
  <c r="D177" i="29"/>
  <c r="D178" i="29"/>
  <c r="D179" i="29"/>
  <c r="D180" i="29"/>
  <c r="D181" i="29"/>
  <c r="D182" i="29"/>
  <c r="D183" i="29"/>
  <c r="D184" i="29"/>
  <c r="D185" i="29"/>
  <c r="D186" i="29"/>
  <c r="D187" i="29"/>
  <c r="D188" i="29"/>
  <c r="D189" i="29"/>
  <c r="D190" i="29"/>
  <c r="D191" i="29"/>
  <c r="D192" i="29"/>
  <c r="D193" i="29"/>
  <c r="D194" i="29"/>
  <c r="D195" i="29"/>
  <c r="D196" i="29"/>
  <c r="D197" i="29"/>
  <c r="D198" i="29"/>
  <c r="D199" i="29"/>
  <c r="D200" i="29"/>
  <c r="D201" i="29"/>
  <c r="D202" i="29"/>
  <c r="D203" i="29"/>
  <c r="D204" i="29"/>
  <c r="D205" i="29"/>
  <c r="D206" i="29"/>
  <c r="D207" i="29"/>
  <c r="D208" i="29"/>
  <c r="D209" i="29"/>
  <c r="D210" i="29"/>
  <c r="D211" i="29"/>
  <c r="D212" i="29"/>
  <c r="D213" i="29"/>
  <c r="D214" i="29"/>
  <c r="D215" i="29"/>
  <c r="D216" i="29"/>
  <c r="D217" i="29"/>
  <c r="D218" i="29"/>
  <c r="D219" i="29"/>
  <c r="D220" i="29"/>
  <c r="D221" i="29"/>
  <c r="D222" i="29"/>
  <c r="D223" i="29"/>
  <c r="D224" i="29"/>
  <c r="D225" i="29"/>
  <c r="D226" i="29"/>
  <c r="D227" i="29"/>
  <c r="D228" i="29"/>
  <c r="D229" i="29"/>
  <c r="D230" i="29"/>
  <c r="D231" i="29"/>
  <c r="D232" i="29"/>
  <c r="D233" i="29"/>
  <c r="D234" i="29"/>
  <c r="D235" i="29"/>
  <c r="D236" i="29"/>
  <c r="D237" i="29"/>
  <c r="D238" i="29"/>
  <c r="D239" i="29"/>
  <c r="D240" i="29"/>
  <c r="D241" i="29"/>
  <c r="D242" i="29"/>
  <c r="D243" i="29"/>
  <c r="D244" i="29"/>
  <c r="D245" i="29"/>
  <c r="D246" i="29"/>
  <c r="D247" i="29"/>
  <c r="D248" i="29"/>
  <c r="D249" i="29"/>
  <c r="D250" i="29"/>
  <c r="D251" i="29"/>
  <c r="D252" i="29"/>
  <c r="D253" i="29"/>
  <c r="D254" i="29"/>
  <c r="D255" i="29"/>
  <c r="D256" i="29"/>
  <c r="D257" i="29"/>
  <c r="D258" i="29"/>
  <c r="D259" i="29"/>
  <c r="D260" i="29"/>
  <c r="D261" i="29"/>
  <c r="D262" i="29"/>
  <c r="D263" i="29"/>
  <c r="D264" i="29"/>
  <c r="D265" i="29"/>
  <c r="D266" i="29"/>
  <c r="D267" i="29"/>
  <c r="D268" i="29"/>
  <c r="D269" i="29"/>
  <c r="D270" i="29"/>
  <c r="D271" i="29"/>
  <c r="D272" i="29"/>
  <c r="D273" i="29"/>
  <c r="D274" i="29"/>
  <c r="D275" i="29"/>
  <c r="D276" i="29"/>
  <c r="D277" i="29"/>
  <c r="D278" i="29"/>
  <c r="D279" i="29"/>
  <c r="D280" i="29"/>
  <c r="D281" i="29"/>
  <c r="D282" i="29"/>
  <c r="D283" i="29"/>
  <c r="D284" i="29"/>
  <c r="D285" i="29"/>
  <c r="D286" i="29"/>
  <c r="D287" i="29"/>
  <c r="D288" i="29"/>
  <c r="D289" i="29"/>
  <c r="D290" i="29"/>
  <c r="D291" i="29"/>
  <c r="D292" i="29"/>
  <c r="D293" i="29"/>
  <c r="D294" i="29"/>
  <c r="D295" i="29"/>
  <c r="D296" i="29"/>
  <c r="D297" i="29"/>
  <c r="D298" i="29"/>
  <c r="D299" i="29"/>
  <c r="D300" i="29"/>
  <c r="D301" i="29"/>
  <c r="D302" i="29"/>
  <c r="D303" i="29"/>
  <c r="D304" i="29"/>
  <c r="D305" i="29"/>
  <c r="D306" i="29"/>
  <c r="D307" i="29"/>
  <c r="D308" i="29"/>
  <c r="D309" i="29"/>
  <c r="D310" i="29"/>
  <c r="D311" i="29"/>
  <c r="D312" i="29"/>
  <c r="D313" i="29"/>
  <c r="D314" i="29"/>
  <c r="D315" i="29"/>
  <c r="D316" i="29"/>
  <c r="D317" i="29"/>
  <c r="D318" i="29"/>
  <c r="D319" i="29"/>
  <c r="D320" i="29"/>
  <c r="D321" i="29"/>
  <c r="D322" i="29"/>
  <c r="D323" i="29"/>
  <c r="D324" i="29"/>
  <c r="D325" i="29"/>
  <c r="D326" i="29"/>
  <c r="D327" i="29"/>
  <c r="D328" i="29"/>
  <c r="D329" i="29"/>
  <c r="D330" i="29"/>
  <c r="D331" i="29"/>
  <c r="D332" i="29"/>
  <c r="D333" i="29"/>
  <c r="D334" i="29"/>
  <c r="D335" i="29"/>
  <c r="D336" i="29"/>
  <c r="D337" i="29"/>
  <c r="D338" i="29"/>
  <c r="D339" i="29"/>
  <c r="D340" i="29"/>
  <c r="D341" i="29"/>
  <c r="D342" i="29"/>
  <c r="D343" i="29"/>
  <c r="D344" i="29"/>
  <c r="D345" i="29"/>
  <c r="D346" i="29"/>
  <c r="D347" i="29"/>
  <c r="D348" i="29"/>
  <c r="D349" i="29"/>
  <c r="D350" i="29"/>
  <c r="D351" i="29"/>
  <c r="D352" i="29"/>
  <c r="D353" i="29"/>
  <c r="D354" i="29"/>
  <c r="D355" i="29"/>
  <c r="D356" i="29"/>
  <c r="D357" i="29"/>
  <c r="D358" i="29"/>
  <c r="D359" i="29"/>
  <c r="D360" i="29"/>
  <c r="D361" i="29"/>
  <c r="D362" i="29"/>
  <c r="D363" i="29"/>
  <c r="D364" i="29"/>
  <c r="D365" i="29"/>
  <c r="D366" i="29"/>
  <c r="D367" i="29"/>
  <c r="D368" i="29"/>
  <c r="D369" i="29"/>
  <c r="D370" i="29"/>
  <c r="D371" i="29"/>
  <c r="D372" i="29"/>
  <c r="D373" i="29"/>
  <c r="D374" i="29"/>
  <c r="D375" i="29"/>
  <c r="D376" i="29"/>
  <c r="D377" i="29"/>
  <c r="D378" i="29"/>
  <c r="D379" i="29"/>
  <c r="D380" i="29"/>
  <c r="D381" i="29"/>
  <c r="D382" i="29"/>
  <c r="D383" i="29"/>
  <c r="D384" i="29"/>
  <c r="D385" i="29"/>
  <c r="D386" i="29"/>
  <c r="D387" i="29"/>
  <c r="D388" i="29"/>
  <c r="D389" i="29"/>
  <c r="D390" i="29"/>
  <c r="D391" i="29"/>
  <c r="D392" i="29"/>
  <c r="D393" i="29"/>
  <c r="D394" i="29"/>
  <c r="D395" i="29"/>
  <c r="D396" i="29"/>
  <c r="D397" i="29"/>
  <c r="D398" i="29"/>
  <c r="D399" i="29"/>
  <c r="D400" i="29"/>
  <c r="D401" i="29"/>
  <c r="D402" i="29"/>
  <c r="D403" i="29"/>
  <c r="D404" i="29"/>
  <c r="D405" i="29"/>
  <c r="D406" i="29"/>
  <c r="D407" i="29"/>
  <c r="D408" i="29"/>
  <c r="D409" i="29"/>
  <c r="D410" i="29"/>
  <c r="D411" i="29"/>
  <c r="D412" i="29"/>
  <c r="D413" i="29"/>
  <c r="D414" i="29"/>
  <c r="D415" i="29"/>
  <c r="D416" i="29"/>
  <c r="D417" i="29"/>
  <c r="D418" i="29"/>
  <c r="D419" i="29"/>
  <c r="D420" i="29"/>
  <c r="D421" i="29"/>
  <c r="D422" i="29"/>
  <c r="D423" i="29"/>
  <c r="D424" i="29"/>
  <c r="D425" i="29"/>
  <c r="D426" i="29"/>
  <c r="D427" i="29"/>
  <c r="D428" i="29"/>
  <c r="D429" i="29"/>
  <c r="D430" i="29"/>
  <c r="D431" i="29"/>
  <c r="D432" i="29"/>
  <c r="D433" i="29"/>
  <c r="D434" i="29"/>
  <c r="D435" i="29"/>
  <c r="D436" i="29"/>
  <c r="D437" i="29"/>
  <c r="D438" i="29"/>
  <c r="D439" i="29"/>
  <c r="D440" i="29"/>
  <c r="D441" i="29"/>
  <c r="D442" i="29"/>
  <c r="D443" i="29"/>
  <c r="D444" i="29"/>
  <c r="D445" i="29"/>
  <c r="D446" i="29"/>
  <c r="D447" i="29"/>
  <c r="D448" i="29"/>
  <c r="D449" i="29"/>
  <c r="D450" i="29"/>
  <c r="D451" i="29"/>
  <c r="D452" i="29"/>
  <c r="D453" i="29"/>
  <c r="D454" i="29"/>
  <c r="D455" i="29"/>
  <c r="D456" i="29"/>
  <c r="D457" i="29"/>
  <c r="D458" i="29"/>
  <c r="D459" i="29"/>
  <c r="D460" i="29"/>
  <c r="D461" i="29"/>
  <c r="D462" i="29"/>
  <c r="D463" i="29"/>
  <c r="D464" i="29"/>
  <c r="D465" i="29"/>
  <c r="D466" i="29"/>
  <c r="D467" i="29"/>
  <c r="D468" i="29"/>
  <c r="D469" i="29"/>
  <c r="D470" i="29"/>
  <c r="D471" i="29"/>
  <c r="D472" i="29"/>
  <c r="D473" i="29"/>
  <c r="D474" i="29"/>
  <c r="D475" i="29"/>
  <c r="D476" i="29"/>
  <c r="D477" i="29"/>
  <c r="D478" i="29"/>
  <c r="D479" i="29"/>
  <c r="D480" i="29"/>
  <c r="D481" i="29"/>
  <c r="D482" i="29"/>
  <c r="D483" i="29"/>
  <c r="D484" i="29"/>
  <c r="D485" i="29"/>
  <c r="D486" i="29"/>
  <c r="D487" i="29"/>
  <c r="D488" i="29"/>
  <c r="D489" i="29"/>
  <c r="D490" i="29"/>
  <c r="D491" i="29"/>
  <c r="D492" i="29"/>
  <c r="D493" i="29"/>
  <c r="D494" i="29"/>
  <c r="D495" i="29"/>
  <c r="D496" i="29"/>
  <c r="D497" i="29"/>
  <c r="D498" i="29"/>
  <c r="D499" i="29"/>
  <c r="D500" i="29"/>
  <c r="D501" i="29"/>
  <c r="D502" i="29"/>
  <c r="D503" i="29"/>
  <c r="D504" i="29"/>
  <c r="D505" i="29"/>
  <c r="D506" i="29"/>
  <c r="D507" i="29"/>
  <c r="D508" i="29"/>
  <c r="D509" i="29"/>
  <c r="D510" i="29"/>
  <c r="D511" i="29"/>
  <c r="D512" i="29"/>
  <c r="D513" i="29"/>
  <c r="D514" i="29"/>
  <c r="D515" i="29"/>
  <c r="D516" i="29"/>
  <c r="D517" i="29"/>
  <c r="D518" i="29"/>
  <c r="D519" i="29"/>
  <c r="D520" i="29"/>
  <c r="D521" i="29"/>
  <c r="D522" i="29"/>
  <c r="D523" i="29"/>
  <c r="D524" i="29"/>
  <c r="D525" i="29"/>
  <c r="D526" i="29"/>
  <c r="D527" i="29"/>
  <c r="D528" i="29"/>
  <c r="D529" i="29"/>
  <c r="D530" i="29"/>
  <c r="D531" i="29"/>
  <c r="D532" i="29"/>
  <c r="D533" i="29"/>
  <c r="D534" i="29"/>
  <c r="D535" i="29"/>
  <c r="D536" i="29"/>
  <c r="D537" i="29"/>
  <c r="D538" i="29"/>
  <c r="D539" i="29"/>
  <c r="D540" i="29"/>
  <c r="D541" i="29"/>
  <c r="D542" i="29"/>
  <c r="D543" i="29"/>
  <c r="D544" i="29"/>
  <c r="D545" i="29"/>
  <c r="D546" i="29"/>
  <c r="D547" i="29"/>
  <c r="D548" i="29"/>
  <c r="D549" i="29"/>
  <c r="D550" i="29"/>
  <c r="D551" i="29"/>
  <c r="D552" i="29"/>
  <c r="D553" i="29"/>
  <c r="D554" i="29"/>
  <c r="D555" i="29"/>
  <c r="D556" i="29"/>
  <c r="D557" i="29"/>
  <c r="D558" i="29"/>
  <c r="D559" i="29"/>
  <c r="D560" i="29"/>
  <c r="D561" i="29"/>
  <c r="D562" i="29"/>
  <c r="D563" i="29"/>
  <c r="D564" i="29"/>
  <c r="D565" i="29"/>
  <c r="D566" i="29"/>
  <c r="D567" i="29"/>
  <c r="D568" i="29"/>
  <c r="D569" i="29"/>
  <c r="D570" i="29"/>
  <c r="D571" i="29"/>
  <c r="D572" i="29"/>
  <c r="D573" i="29"/>
  <c r="D574" i="29"/>
  <c r="D575" i="29"/>
  <c r="D576" i="29"/>
  <c r="D577" i="29"/>
  <c r="D578" i="29"/>
  <c r="D579" i="29"/>
  <c r="D580" i="29"/>
  <c r="D581" i="29"/>
  <c r="D582" i="29"/>
  <c r="D583" i="29"/>
  <c r="D584" i="29"/>
  <c r="D585" i="29"/>
  <c r="D586" i="29"/>
  <c r="D587" i="29"/>
  <c r="D588" i="29"/>
  <c r="D589" i="29"/>
  <c r="D590" i="29"/>
  <c r="D591" i="29"/>
  <c r="D592" i="29"/>
  <c r="D593" i="29"/>
  <c r="D594" i="29"/>
  <c r="D595" i="29"/>
  <c r="D596" i="29"/>
  <c r="D597" i="29"/>
  <c r="D598" i="29"/>
  <c r="D599" i="29"/>
  <c r="D600" i="29"/>
  <c r="D601" i="29"/>
  <c r="D602" i="29"/>
  <c r="D603" i="29"/>
  <c r="D604" i="29"/>
  <c r="D605" i="29"/>
  <c r="D606" i="29"/>
  <c r="D607" i="29"/>
  <c r="D608" i="29"/>
  <c r="D609" i="29"/>
  <c r="D610" i="29"/>
  <c r="D611" i="29"/>
  <c r="D612" i="29"/>
  <c r="D613" i="29"/>
  <c r="D614" i="29"/>
  <c r="D615" i="29"/>
  <c r="D616" i="29"/>
  <c r="D617" i="29"/>
  <c r="D618" i="29"/>
  <c r="D619" i="29"/>
  <c r="D620" i="29"/>
  <c r="D621" i="29"/>
  <c r="D622" i="29"/>
  <c r="D623" i="29"/>
  <c r="D624" i="29"/>
  <c r="D625" i="29"/>
  <c r="D626" i="29"/>
  <c r="D627" i="29"/>
  <c r="D628" i="29"/>
  <c r="D629" i="29"/>
  <c r="D630" i="29"/>
  <c r="D631" i="29"/>
  <c r="D632" i="29"/>
  <c r="D633" i="29"/>
  <c r="D634" i="29"/>
  <c r="D635" i="29"/>
  <c r="D636" i="29"/>
  <c r="D637" i="29"/>
  <c r="D638" i="29"/>
  <c r="D639" i="29"/>
  <c r="D640" i="29"/>
  <c r="D641" i="29"/>
  <c r="D642" i="29"/>
  <c r="D643" i="29"/>
  <c r="D644" i="29"/>
  <c r="D645" i="29"/>
  <c r="D646" i="29"/>
  <c r="D647" i="29"/>
  <c r="D648" i="29"/>
  <c r="D649" i="29"/>
  <c r="D650" i="29"/>
  <c r="D651" i="29"/>
  <c r="D652" i="29"/>
  <c r="D653" i="29"/>
  <c r="D654" i="29"/>
  <c r="D655" i="29"/>
  <c r="D656" i="29"/>
  <c r="D657" i="29"/>
  <c r="D658" i="29"/>
  <c r="D659" i="29"/>
  <c r="D660" i="29"/>
  <c r="D661" i="29"/>
  <c r="D662" i="29"/>
  <c r="D663" i="29"/>
  <c r="D664" i="29"/>
  <c r="D665" i="29"/>
  <c r="D666" i="29"/>
  <c r="D667" i="29"/>
  <c r="D668" i="29"/>
  <c r="D669" i="29"/>
  <c r="D670" i="29"/>
  <c r="D671" i="29"/>
  <c r="D672" i="29"/>
  <c r="D673" i="29"/>
  <c r="D674" i="29"/>
  <c r="D675" i="29"/>
  <c r="D676" i="29"/>
  <c r="D677" i="29"/>
  <c r="D678" i="29"/>
  <c r="D679" i="29"/>
  <c r="D680" i="29"/>
  <c r="D681" i="29"/>
  <c r="D682" i="29"/>
  <c r="D683" i="29"/>
  <c r="D684" i="29"/>
  <c r="D685" i="29"/>
  <c r="D686" i="29"/>
  <c r="D687" i="29"/>
  <c r="D688" i="29"/>
  <c r="D689" i="29"/>
  <c r="D690" i="29"/>
  <c r="D691" i="29"/>
  <c r="D692" i="29"/>
  <c r="D693" i="29"/>
  <c r="D694" i="29"/>
  <c r="D695" i="29"/>
  <c r="D696" i="29"/>
  <c r="D697" i="29"/>
  <c r="D698" i="29"/>
  <c r="D699" i="29"/>
  <c r="D700" i="29"/>
  <c r="D701" i="29"/>
  <c r="D702" i="29"/>
  <c r="D703" i="29"/>
  <c r="D704" i="29"/>
  <c r="D705" i="29"/>
  <c r="D706" i="29"/>
  <c r="D707" i="29"/>
  <c r="D708" i="29"/>
  <c r="D709" i="29"/>
  <c r="D710" i="29"/>
  <c r="D711" i="29"/>
  <c r="D712" i="29"/>
  <c r="D713" i="29"/>
  <c r="D714" i="29"/>
  <c r="D715" i="29"/>
  <c r="D716" i="29"/>
  <c r="D717" i="29"/>
  <c r="D718" i="29"/>
  <c r="D719" i="29"/>
  <c r="D720" i="29"/>
  <c r="D721" i="29"/>
  <c r="D722" i="29"/>
  <c r="D723" i="29"/>
  <c r="D724" i="29"/>
  <c r="D725" i="29"/>
  <c r="D726" i="29"/>
  <c r="D727" i="29"/>
  <c r="D728" i="29"/>
  <c r="D729" i="29"/>
  <c r="D730" i="29"/>
  <c r="D731" i="29"/>
  <c r="D732" i="29"/>
  <c r="D733" i="29"/>
  <c r="D734" i="29"/>
  <c r="D735" i="29"/>
  <c r="D736" i="29"/>
  <c r="D737" i="29"/>
  <c r="D738" i="29"/>
  <c r="D739" i="29"/>
  <c r="D740" i="29"/>
  <c r="D741" i="29"/>
  <c r="D742" i="29"/>
  <c r="D743" i="29"/>
  <c r="D744" i="29"/>
  <c r="D745" i="29"/>
  <c r="D746" i="29"/>
  <c r="D747" i="29"/>
  <c r="D748" i="29"/>
  <c r="D749" i="29"/>
  <c r="D750" i="29"/>
  <c r="D751" i="29"/>
  <c r="D752" i="29"/>
  <c r="D753" i="29"/>
  <c r="D754" i="29"/>
  <c r="D755" i="29"/>
  <c r="D756" i="29"/>
  <c r="D757" i="29"/>
  <c r="D758" i="29"/>
  <c r="D759" i="29"/>
  <c r="D760" i="29"/>
  <c r="D761" i="29"/>
  <c r="D762" i="29"/>
  <c r="D763" i="29"/>
  <c r="D764" i="29"/>
  <c r="D765" i="29"/>
  <c r="D766" i="29"/>
  <c r="D767" i="29"/>
  <c r="D768" i="29"/>
  <c r="D769" i="29"/>
  <c r="D770" i="29"/>
  <c r="D771" i="29"/>
  <c r="D772" i="29"/>
  <c r="D773" i="29"/>
  <c r="D774" i="29"/>
  <c r="D775" i="29"/>
  <c r="D776" i="29"/>
  <c r="D777" i="29"/>
  <c r="D778" i="29"/>
  <c r="D779" i="29"/>
  <c r="D780" i="29"/>
  <c r="D781" i="29"/>
  <c r="D782" i="29"/>
  <c r="D783" i="29"/>
  <c r="D784" i="29"/>
  <c r="D785" i="29"/>
  <c r="D786" i="29"/>
  <c r="D787" i="29"/>
  <c r="D788" i="29"/>
  <c r="D789" i="29"/>
  <c r="D790" i="29"/>
  <c r="D791" i="29"/>
  <c r="D792" i="29"/>
  <c r="D793" i="29"/>
  <c r="D794" i="29"/>
  <c r="D795" i="29"/>
  <c r="D796" i="29"/>
  <c r="D797" i="29"/>
  <c r="D798" i="29"/>
  <c r="D799" i="29"/>
  <c r="D800" i="29"/>
  <c r="D801" i="29"/>
  <c r="D802" i="29"/>
  <c r="D803" i="29"/>
  <c r="D804" i="29"/>
  <c r="D805" i="29"/>
  <c r="D806" i="29"/>
  <c r="D807" i="29"/>
  <c r="D808" i="29"/>
  <c r="D809" i="29"/>
  <c r="D810" i="29"/>
  <c r="D811" i="29"/>
  <c r="D812" i="29"/>
  <c r="D813" i="29"/>
  <c r="D814" i="29"/>
  <c r="D815" i="29"/>
  <c r="D816" i="29"/>
  <c r="D817" i="29"/>
  <c r="D818" i="29"/>
  <c r="D819" i="29"/>
  <c r="D820" i="29"/>
  <c r="D821" i="29"/>
  <c r="D822" i="29"/>
  <c r="D823" i="29"/>
  <c r="D824" i="29"/>
  <c r="D825" i="29"/>
  <c r="D826" i="29"/>
  <c r="D827" i="29"/>
  <c r="D828" i="29"/>
  <c r="D829" i="29"/>
  <c r="D830" i="29"/>
  <c r="D831" i="29"/>
  <c r="D832" i="29"/>
  <c r="D833" i="29"/>
  <c r="D834" i="29"/>
  <c r="D835" i="29"/>
  <c r="D836" i="29"/>
  <c r="D837" i="29"/>
  <c r="D838" i="29"/>
  <c r="D839" i="29"/>
  <c r="D840" i="29"/>
  <c r="D841" i="29"/>
  <c r="D842" i="29"/>
  <c r="D843" i="29"/>
  <c r="D844" i="29"/>
  <c r="D845" i="29"/>
  <c r="D846" i="29"/>
  <c r="D847" i="29"/>
  <c r="D848" i="29"/>
  <c r="D849" i="29"/>
  <c r="D850" i="29"/>
  <c r="D851" i="29"/>
  <c r="D852" i="29"/>
  <c r="D853" i="29"/>
  <c r="D854" i="29"/>
  <c r="D855" i="29"/>
  <c r="D856" i="29"/>
  <c r="D857" i="29"/>
  <c r="D858" i="29"/>
  <c r="D859" i="29"/>
  <c r="D860" i="29"/>
  <c r="D861" i="29"/>
  <c r="D862" i="29"/>
  <c r="D863" i="29"/>
  <c r="D864" i="29"/>
  <c r="D865" i="29"/>
  <c r="D866" i="29"/>
  <c r="D867" i="29"/>
  <c r="D868" i="29"/>
  <c r="D869" i="29"/>
  <c r="D870" i="29"/>
  <c r="D871" i="29"/>
  <c r="D872" i="29"/>
  <c r="D873" i="29"/>
  <c r="D874" i="29"/>
  <c r="D875" i="29"/>
  <c r="D876" i="29"/>
  <c r="D877" i="29"/>
  <c r="D878" i="29"/>
  <c r="D879" i="29"/>
  <c r="D880" i="29"/>
  <c r="D881" i="29"/>
  <c r="D882" i="29"/>
  <c r="D883" i="29"/>
  <c r="D884" i="29"/>
  <c r="D885" i="29"/>
  <c r="D886" i="29"/>
  <c r="D887" i="29"/>
  <c r="D888" i="29"/>
  <c r="D889" i="29"/>
  <c r="D890" i="29"/>
  <c r="D891" i="29"/>
  <c r="D892" i="29"/>
  <c r="D893" i="29"/>
  <c r="D894" i="29"/>
  <c r="D895" i="29"/>
  <c r="D896" i="29"/>
  <c r="D897" i="29"/>
  <c r="D898" i="29"/>
  <c r="D899" i="29"/>
  <c r="D900" i="29"/>
  <c r="D901" i="29"/>
  <c r="D902" i="29"/>
  <c r="D903" i="29"/>
  <c r="D904" i="29"/>
  <c r="D905" i="29"/>
  <c r="D906" i="29"/>
  <c r="D907" i="29"/>
  <c r="D908" i="29"/>
  <c r="D909" i="29"/>
  <c r="D910" i="29"/>
  <c r="D911" i="29"/>
  <c r="D912" i="29"/>
  <c r="D913" i="29"/>
  <c r="D914" i="29"/>
  <c r="D915" i="29"/>
  <c r="D916" i="29"/>
  <c r="D917" i="29"/>
  <c r="D918" i="29"/>
  <c r="D919" i="29"/>
  <c r="D920" i="29"/>
  <c r="D921" i="29"/>
  <c r="D922" i="29"/>
  <c r="D923" i="29"/>
  <c r="D924" i="29"/>
  <c r="D925" i="29"/>
  <c r="D926" i="29"/>
  <c r="D927" i="29"/>
  <c r="D928" i="29"/>
  <c r="D929" i="29"/>
  <c r="D930" i="29"/>
  <c r="D931" i="29"/>
  <c r="D932" i="29"/>
  <c r="D933" i="29"/>
  <c r="D934" i="29"/>
  <c r="D935" i="29"/>
  <c r="D936" i="29"/>
  <c r="D937" i="29"/>
  <c r="D938" i="29"/>
  <c r="D939" i="29"/>
  <c r="D940" i="29"/>
  <c r="D941" i="29"/>
  <c r="D942" i="29"/>
  <c r="D943" i="29"/>
  <c r="D944" i="29"/>
  <c r="D945" i="29"/>
  <c r="D946" i="29"/>
  <c r="D947" i="29"/>
  <c r="D948" i="29"/>
  <c r="D949" i="29"/>
  <c r="D950" i="29"/>
  <c r="D951" i="29"/>
  <c r="D952" i="29"/>
  <c r="D953" i="29"/>
  <c r="D954" i="29"/>
  <c r="D955" i="29"/>
  <c r="D956" i="29"/>
  <c r="D957" i="29"/>
  <c r="D958" i="29"/>
  <c r="D959" i="29"/>
  <c r="D960" i="29"/>
  <c r="D961" i="29"/>
  <c r="D962" i="29"/>
  <c r="D963" i="29"/>
  <c r="D964" i="29"/>
  <c r="D965" i="29"/>
  <c r="D966" i="29"/>
  <c r="D967" i="29"/>
  <c r="D968" i="29"/>
  <c r="D969" i="29"/>
  <c r="D970" i="29"/>
  <c r="D971" i="29"/>
  <c r="D972" i="29"/>
  <c r="D973" i="29"/>
  <c r="D974" i="29"/>
  <c r="D975" i="29"/>
  <c r="D976" i="29"/>
  <c r="D977" i="29"/>
  <c r="D978" i="29"/>
  <c r="D979" i="29"/>
  <c r="D980" i="29"/>
  <c r="D981" i="29"/>
  <c r="D982" i="29"/>
  <c r="D983" i="29"/>
  <c r="D984" i="29"/>
  <c r="D985" i="29"/>
  <c r="D986" i="29"/>
  <c r="D987" i="29"/>
  <c r="D988" i="29"/>
  <c r="D989" i="29"/>
  <c r="D990" i="29"/>
  <c r="D991" i="29"/>
  <c r="D992" i="29"/>
  <c r="D993" i="29"/>
  <c r="D994" i="29"/>
  <c r="D995" i="29"/>
  <c r="D996" i="29"/>
  <c r="D997" i="29"/>
  <c r="D998" i="29"/>
  <c r="D999" i="29"/>
  <c r="D1000" i="29"/>
  <c r="D1001" i="29"/>
  <c r="D1002" i="29"/>
  <c r="D1003" i="29"/>
  <c r="D1004" i="29"/>
  <c r="D3" i="29"/>
  <c r="C193" i="15"/>
  <c r="C194" i="15"/>
  <c r="C195" i="15"/>
  <c r="C196" i="15"/>
  <c r="C192" i="15"/>
  <c r="C228" i="15"/>
  <c r="C220" i="15"/>
  <c r="B142" i="15"/>
  <c r="B159" i="15"/>
  <c r="G20" i="15"/>
  <c r="G22" i="15" s="1"/>
  <c r="G21" i="15"/>
  <c r="G16" i="15"/>
  <c r="G24" i="15" s="1"/>
  <c r="B23" i="15"/>
  <c r="B18" i="15"/>
  <c r="B19" i="15" s="1"/>
  <c r="B16" i="15"/>
  <c r="G23" i="15" l="1"/>
  <c r="G25" i="15" s="1"/>
  <c r="G17" i="15"/>
  <c r="B21" i="15"/>
  <c r="B24" i="15" s="1"/>
  <c r="B25"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Fiona Donkor</author>
  </authors>
  <commentList>
    <comment ref="E14" authorId="0" shapeId="0" xr:uid="{B9D23954-B265-47B0-94E3-AF26068C9541}">
      <text>
        <r>
          <rPr>
            <b/>
            <sz val="9"/>
            <color indexed="81"/>
            <rFont val="Tahoma"/>
            <family val="2"/>
          </rPr>
          <t>Fiona Donkor:</t>
        </r>
        <r>
          <rPr>
            <sz val="9"/>
            <color indexed="81"/>
            <rFont val="Tahoma"/>
            <family val="2"/>
          </rPr>
          <t xml:space="preserve">
Qualifying Assets:
-Land and Buildings
-Fixed plant and machinery
-Some intangible assets
</t>
        </r>
      </text>
    </comment>
    <comment ref="C43" authorId="0" shapeId="0" xr:uid="{FACDAAEE-5150-488F-8DE2-A674DB3FCE32}">
      <text>
        <r>
          <rPr>
            <b/>
            <sz val="9"/>
            <color indexed="81"/>
            <rFont val="Tahoma"/>
            <family val="2"/>
          </rPr>
          <t>Fiona Donkor:</t>
        </r>
        <r>
          <rPr>
            <sz val="9"/>
            <color indexed="81"/>
            <rFont val="Tahoma"/>
            <family val="2"/>
          </rPr>
          <t xml:space="preserve">
Claimed - If user said yes to claiming this, then true
If jointly let = We ask user if they own property themselves or with others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Fiona Donkor</author>
  </authors>
  <commentList>
    <comment ref="A6" authorId="0" shapeId="0" xr:uid="{755937C3-4EB0-4FC3-A136-CDCFD0E001A4}">
      <text>
        <r>
          <rPr>
            <b/>
            <sz val="9"/>
            <color indexed="81"/>
            <rFont val="Tahoma"/>
            <family val="2"/>
          </rPr>
          <t>Fiona Donkor:</t>
        </r>
        <r>
          <rPr>
            <sz val="9"/>
            <color indexed="81"/>
            <rFont val="Tahoma"/>
            <family val="2"/>
          </rPr>
          <t xml:space="preserve">
If asset put in this pool then capital allowances: 
The personal use portion (if business use is 60%, personal use will then be 40%) Meaning the disallowable costs is 40% of the cost, this needs to be submitted in the API in the API category below.
</t>
        </r>
        <r>
          <rPr>
            <b/>
            <sz val="9"/>
            <color indexed="81"/>
            <rFont val="Tahoma"/>
            <family val="2"/>
          </rPr>
          <t>capitalAllowanceSingleAssetPoolDisallowable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Fiona Donkor</author>
  </authors>
  <commentList>
    <comment ref="D13" authorId="0" shapeId="0" xr:uid="{379306D5-27A7-4FA1-9ADB-435B08393A39}">
      <text>
        <r>
          <rPr>
            <b/>
            <sz val="9"/>
            <color indexed="81"/>
            <rFont val="Tahoma"/>
            <family val="2"/>
          </rPr>
          <t>Fiona Donkor:</t>
        </r>
        <r>
          <rPr>
            <sz val="9"/>
            <color indexed="81"/>
            <rFont val="Tahoma"/>
            <family val="2"/>
          </rPr>
          <t xml:space="preserve">
AI Trigger:
If inferred_uk_days &gt;183
   flag_residence = True
   Show_remittance_basis_question = True
</t>
        </r>
      </text>
    </comment>
    <comment ref="D14" authorId="0" shapeId="0" xr:uid="{9A8037BD-04E7-4227-B3FD-A69F79FEB081}">
      <text>
        <r>
          <rPr>
            <b/>
            <sz val="9"/>
            <color indexed="81"/>
            <rFont val="Tahoma"/>
            <family val="2"/>
          </rPr>
          <t>Fiona Donkor:</t>
        </r>
        <r>
          <rPr>
            <sz val="9"/>
            <color indexed="81"/>
            <rFont val="Tahoma"/>
            <family val="2"/>
          </rPr>
          <t xml:space="preserve">
AI Trigger:
If inferred_uk_days &lt;183
   flag_residence = False
   Show_remittance_basis_question = False
</t>
        </r>
      </text>
    </comment>
  </commentList>
</comments>
</file>

<file path=xl/sharedStrings.xml><?xml version="1.0" encoding="utf-8"?>
<sst xmlns="http://schemas.openxmlformats.org/spreadsheetml/2006/main" count="7600" uniqueCount="3449">
  <si>
    <t>Income Type</t>
  </si>
  <si>
    <t>Allowance</t>
  </si>
  <si>
    <t>Rule for IB</t>
  </si>
  <si>
    <t>Dividend Income</t>
  </si>
  <si>
    <t>Savings Income</t>
  </si>
  <si>
    <t>Employment Income</t>
  </si>
  <si>
    <t>Self Employment Income</t>
  </si>
  <si>
    <t>Capital Gains Income</t>
  </si>
  <si>
    <t>Trust Income</t>
  </si>
  <si>
    <t>Furnished Holiday Let</t>
  </si>
  <si>
    <t>Sub-Income Category Type (Trigger)</t>
  </si>
  <si>
    <t>API Section</t>
  </si>
  <si>
    <t>Rent-A-Room</t>
  </si>
  <si>
    <t>Residential Rental Income (UK)</t>
  </si>
  <si>
    <t>Commerical Rental Income (UK)</t>
  </si>
  <si>
    <t>Residential Rental Income (Foreign)</t>
  </si>
  <si>
    <t>Commerical Rental Income (Foreign)</t>
  </si>
  <si>
    <t>Foreign Income</t>
  </si>
  <si>
    <t>Capital Gains (Foreign)</t>
  </si>
  <si>
    <t>Dividend Income (Foreign)</t>
  </si>
  <si>
    <t>Furnished Holiday Let (EEA Property)</t>
  </si>
  <si>
    <t>Savings Income (Foreign)</t>
  </si>
  <si>
    <t>Employment Income (Foreign)</t>
  </si>
  <si>
    <t>Rent-A-Room (UK Only)</t>
  </si>
  <si>
    <t>Calculation</t>
  </si>
  <si>
    <t>API Name</t>
  </si>
  <si>
    <t>dividendsIncome</t>
  </si>
  <si>
    <t>If user specifies this as their income type, and gives monthly range, the AI ML should recognise this and categorise this in the GL as "Dividend Income"</t>
  </si>
  <si>
    <t>Using Fuzzy Matching, check if amounts match what user specified for dividend income upon setup. If this is the users only income, then automatically assing to this GL Code.</t>
  </si>
  <si>
    <t>savingsAndGainsIncome</t>
  </si>
  <si>
    <t>If user specifies this as their income type, and gives monthly range, the AI ML should recognise this and categorise this in the GL as "Savings Income"</t>
  </si>
  <si>
    <t>Since this mainly comes from financial instituitions, we use the MCC Code as a fall back if this income is specified all MCC Codes, 6000-6999. - Or use merchant name to see if this is interest from a financial instituition.  We only use these two IF user has specified more than one income type that includes savings income. However, the rang specified should aid AI ML i making decision on type of income.</t>
  </si>
  <si>
    <t>pulled in from HMRC API</t>
  </si>
  <si>
    <t>N/A</t>
  </si>
  <si>
    <t>UK Dividend Income</t>
  </si>
  <si>
    <t>UK Savings Income</t>
  </si>
  <si>
    <t>UK Trust Income</t>
  </si>
  <si>
    <t>UK Property Income</t>
  </si>
  <si>
    <t>UK Capital Gains Income</t>
  </si>
  <si>
    <t>Financial Statement</t>
  </si>
  <si>
    <t>Turnover</t>
  </si>
  <si>
    <t>Heading</t>
  </si>
  <si>
    <t>GL Name (Breakdown)</t>
  </si>
  <si>
    <t>Income Statement</t>
  </si>
  <si>
    <t>UK Self Employment Income</t>
  </si>
  <si>
    <t>Notes</t>
  </si>
  <si>
    <t>Included for Tax</t>
  </si>
  <si>
    <t>Only for Tax calculations not P+L as this is personal income not sales</t>
  </si>
  <si>
    <t>employment</t>
  </si>
  <si>
    <t>selfemployment</t>
  </si>
  <si>
    <t>Trading Allowances</t>
  </si>
  <si>
    <t>If user specifies this as their income type, and gives monthly range, the AI ML should recognise this and categorise this in the GL as "SE Income" - Also if Invoices are sent and managed through IB, this should be also recognised this way by matching amounts to invoices.</t>
  </si>
  <si>
    <t>If VAT, ensure to take NET amount only as turnover.</t>
  </si>
  <si>
    <t>Loss Relief</t>
  </si>
  <si>
    <t>Trading Allowances/Capital Allowances/Use of Home as Office/Loss Relief/Pension Relief</t>
  </si>
  <si>
    <t>Apply to API return, when IF HMRC give employment information. Use tax deducted as relief to recalculate estimated tax owed for the sake of user vision.</t>
  </si>
  <si>
    <t xml:space="preserve">Tax deducted at source can be claimed. </t>
  </si>
  <si>
    <t>User would have specified if this income is received</t>
  </si>
  <si>
    <t>Ask user to upload documentation for tax deducted at source "taxpaid"</t>
  </si>
  <si>
    <t>trustAndEstates</t>
  </si>
  <si>
    <t>capitalGains</t>
  </si>
  <si>
    <t>Ask user for this, if not already specified.</t>
  </si>
  <si>
    <t>User specifies this/ Or if unknown amount hits the bank, we notify user for confirmation if amount is out of range specified upon setup./Using Fuzzy Matching to see clues in description e.g "Sale of Car", "Sale of Asset". E.g if sale of car, check if money in from MCC Code belonging to Automotive dealers</t>
  </si>
  <si>
    <t>Furnished Holiday Let (Outside UK and EEA)</t>
  </si>
  <si>
    <t>If user has specified this type of income, Ask user for address of the property. Also detected on bank feeds, i.e from accomodation and hospitality websites such as AirBNB or Booking.com, or other rent a room websites Zoopla, Open rent, Right a Move - Address of this property needs to be entered to see country and this is the same as main residence.</t>
  </si>
  <si>
    <t>foreignIncome</t>
  </si>
  <si>
    <t>ukProperty</t>
  </si>
  <si>
    <t>capitalGains.foreignAssetDisposals</t>
  </si>
  <si>
    <t>Commerical Rental Income</t>
  </si>
  <si>
    <t>ukOtherPropertyIncome.rentARoom.amount</t>
  </si>
  <si>
    <t>Rent-A-Room relief</t>
  </si>
  <si>
    <t>First £500 of dividend income is allowable. Total foreign and UK dividend and then deduct £500 allowance/ FTCR</t>
  </si>
  <si>
    <t>Personal Savings Allowance/Savings Allowance - Total with UK Savings income then deduct./FTCR</t>
  </si>
  <si>
    <t>FTCR</t>
  </si>
  <si>
    <t>FCTR/Full Mortgage Interest deduction/Letting Agent Fee/Insurance/Utilities paid by landlord/Property Management Fees</t>
  </si>
  <si>
    <t>Allowances Trigger</t>
  </si>
  <si>
    <t>If address of rent a room property same as residential address specified upon setup.</t>
  </si>
  <si>
    <t>Property Allowance/Capital Allowance/Finance Costs deduction</t>
  </si>
  <si>
    <t>FTCR/Full Mortgage Interest - 100%</t>
  </si>
  <si>
    <t>If user specifies this income type and if amount falls withing specified range.</t>
  </si>
  <si>
    <t>Personal Savings Allowance</t>
  </si>
  <si>
    <t>Savings Allowance</t>
  </si>
  <si>
    <t>Capital Allowances</t>
  </si>
  <si>
    <t>Use of Home as Office Allowance</t>
  </si>
  <si>
    <t>Pension Reliefs</t>
  </si>
  <si>
    <t>Dividend Allowance</t>
  </si>
  <si>
    <t>Amount</t>
  </si>
  <si>
    <t>Tax Deducted at source</t>
  </si>
  <si>
    <t>Annual Exempt Amount</t>
  </si>
  <si>
    <t>Rollover Relief</t>
  </si>
  <si>
    <t>Foreign Credit Tax Relief</t>
  </si>
  <si>
    <t>Mortgage Interest</t>
  </si>
  <si>
    <t>Pension Contributions</t>
  </si>
  <si>
    <t>Partial Mortgage Interest deduction</t>
  </si>
  <si>
    <t>Remittance Basis Relief</t>
  </si>
  <si>
    <t>Trigger When:</t>
  </si>
  <si>
    <t>Property Allowance</t>
  </si>
  <si>
    <t>HMRC Automatically applies this</t>
  </si>
  <si>
    <t>£</t>
  </si>
  <si>
    <t>First £500 of dividend income is allowable. Total foreign and UK dividend and then deduct £500 allowance. - HMRC automatically applies and we calculate ourselves for estimated tax</t>
  </si>
  <si>
    <t>Personal Savings Allowance/Savings Allowance  - HMRC automatically applies and we calculate ourselves</t>
  </si>
  <si>
    <t>Yes</t>
  </si>
  <si>
    <t>Savings Allowance - Starting Rate</t>
  </si>
  <si>
    <t>If amount out of range specified, IB should ask the user what this income relates to. The IB will know supplier name, and match through fuzzy matching.</t>
  </si>
  <si>
    <t>Will IB calculate this:</t>
  </si>
  <si>
    <t>Yes for estimated tax amounts</t>
  </si>
  <si>
    <t>Entertainment</t>
  </si>
  <si>
    <t>Games</t>
  </si>
  <si>
    <t>Base allowance on main income type taxpayer rate if there is other income (ie employment income/self employment income) - If not then use savings rate income band (wherever it falls based on annual savings income) - Same for scotland</t>
  </si>
  <si>
    <t>Basic Rate - £1,000/Higher Rate - £500/Advanced - 0</t>
  </si>
  <si>
    <t>None</t>
  </si>
  <si>
    <t>If user picks savings allowance as an income type, automatically apply this UNTIL total net income is over the 12,570 threshold.</t>
  </si>
  <si>
    <t>If user picks savings allowance as an income type, automatically apply for internal calculations. If Main income type then apply then we see total cumulative net income and what band it falls in. But if secondary or tertiary, look at main income and where the net income type falls in what band.</t>
  </si>
  <si>
    <t>When user picks savings income as an income type upon setup.</t>
  </si>
  <si>
    <t>When user picks dividends income as an income type upon setup.</t>
  </si>
  <si>
    <t>Always apply full amount , no rules.</t>
  </si>
  <si>
    <t>If user picks dividend allowance, automatically apply £500 as an allowance.</t>
  </si>
  <si>
    <t>If total allowable expenses under £1,000 for the year, then automatically apply.</t>
  </si>
  <si>
    <t>Prompt:</t>
  </si>
  <si>
    <t>If self employment income is selected, then apply this automatically, until allowable expenses surpasses £1,000. Once this happens use allowable expense instead.</t>
  </si>
  <si>
    <t>Deduct the 1,000 from the turnover, if rule applies.</t>
  </si>
  <si>
    <t>Yes for the API and Test. Tax calc. (If expenses for the year are under &lt;1,000, we ask upon submission: "Do you want to claim the £1,000 trading allowance instead of entering expenses" - and tell them why and the benefit.</t>
  </si>
  <si>
    <t>Check Tab</t>
  </si>
  <si>
    <t>Annual Investment Allowance (AIA)</t>
  </si>
  <si>
    <t>Main Pool Allowance</t>
  </si>
  <si>
    <t>Special Rate Pool</t>
  </si>
  <si>
    <t>Single Asset Pool</t>
  </si>
  <si>
    <t>annualInvestmentAllowance</t>
  </si>
  <si>
    <t>zeroEmissionsGoodsVehicleAllowance</t>
  </si>
  <si>
    <t>List of Assets</t>
  </si>
  <si>
    <t>Type of Capital Allowance</t>
  </si>
  <si>
    <t>Car</t>
  </si>
  <si>
    <t>Motorcycle</t>
  </si>
  <si>
    <t>Lorry or Truck</t>
  </si>
  <si>
    <t>Machinery and Equipment</t>
  </si>
  <si>
    <t>Computer Equipment</t>
  </si>
  <si>
    <t>Office Furniture and Fixtures</t>
  </si>
  <si>
    <t>Tools (Hand and Power Tools)</t>
  </si>
  <si>
    <t>IT Equipment</t>
  </si>
  <si>
    <t>Telecoms Equipment</t>
  </si>
  <si>
    <t>Shop Fittings and Displays</t>
  </si>
  <si>
    <t>Security Systems</t>
  </si>
  <si>
    <t>Renewable Energy Equipment</t>
  </si>
  <si>
    <t>Refrigeration Units</t>
  </si>
  <si>
    <t>Electrical Systems</t>
  </si>
  <si>
    <t>Business Signage</t>
  </si>
  <si>
    <t>Plant and Industrial Equipment</t>
  </si>
  <si>
    <t>Commercial Kitchen Equipment</t>
  </si>
  <si>
    <t>Point of Sale (POS) Systems</t>
  </si>
  <si>
    <t>Storage Systems</t>
  </si>
  <si>
    <t>Specialist Medical or Scientific Equipment</t>
  </si>
  <si>
    <t>Construction Tools and Equipment</t>
  </si>
  <si>
    <t>Software (capitalised development costs)</t>
  </si>
  <si>
    <t>Zero Emissions Goods Vehicle Allowance (FYA)</t>
  </si>
  <si>
    <t>IB could prompt upon setup:</t>
  </si>
  <si>
    <t>In the last 5 years have you purchased a vehicle (over £500) at all?</t>
  </si>
  <si>
    <t>If "Yes" list types of vehicles, Give cost, and year purchased.</t>
  </si>
  <si>
    <t>Business address and Home Address are the same</t>
  </si>
  <si>
    <t>No of rooms used/total rooms in house times cost.</t>
  </si>
  <si>
    <t>Ask user how many rooms in their property, and how many are used for business. (Total of Rent/mortgage Interest, Utilities, Internet, Council Tax, Home Insurance)</t>
  </si>
  <si>
    <t>End of the first month of setup, ask the user if any home bills are paid - ONLY DO THIS IF BOTH ADDRESSES ARE THE SAME</t>
  </si>
  <si>
    <t>otherExpenses</t>
  </si>
  <si>
    <t>check calculation.</t>
  </si>
  <si>
    <t>Capital Gains</t>
  </si>
  <si>
    <t>Self Employment</t>
  </si>
  <si>
    <t>total amount paid in the year</t>
  </si>
  <si>
    <t>AVIVA</t>
  </si>
  <si>
    <t>Registered UK Pension Providers</t>
  </si>
  <si>
    <t>Scottish Widows</t>
  </si>
  <si>
    <t>Legal &amp; General</t>
  </si>
  <si>
    <t>Nest Pensions</t>
  </si>
  <si>
    <t>PensionBee</t>
  </si>
  <si>
    <t>Standard Life</t>
  </si>
  <si>
    <t>Royal London</t>
  </si>
  <si>
    <t>Aegon UK</t>
  </si>
  <si>
    <t>Hargreaves Lansdown</t>
  </si>
  <si>
    <t>Fidelity International</t>
  </si>
  <si>
    <t>True Potential Investments</t>
  </si>
  <si>
    <t>The People’s Pension</t>
  </si>
  <si>
    <t>NOW: Pensions</t>
  </si>
  <si>
    <t>Smart Pension</t>
  </si>
  <si>
    <t>Zurich Assurance Ltd</t>
  </si>
  <si>
    <t>LV= (Liverpool Victoria)</t>
  </si>
  <si>
    <t>Phoenix Life</t>
  </si>
  <si>
    <t>ReAssure Ltd</t>
  </si>
  <si>
    <t>Curtis Banks</t>
  </si>
  <si>
    <t>Canada Life</t>
  </si>
  <si>
    <t>Prudential (M&amp;G plc)</t>
  </si>
  <si>
    <t>MetLife UK</t>
  </si>
  <si>
    <t>XPS Pensions Group</t>
  </si>
  <si>
    <t>SEI Investments (Europe) Ltd</t>
  </si>
  <si>
    <t>Barnett Waddingham</t>
  </si>
  <si>
    <t>Total contribution calculated is allowable</t>
  </si>
  <si>
    <t>totalPaymentsIntoRAS</t>
  </si>
  <si>
    <t>Yes for estimated tax amounts, but total amount for pension calculated will be sent.</t>
  </si>
  <si>
    <t>taxTakenOff</t>
  </si>
  <si>
    <t>When user picks trust income as an income type upon setup.</t>
  </si>
  <si>
    <t>Amount that they receive is applied and put on the API.</t>
  </si>
  <si>
    <t>Ask user to upload document for tax taken off at source if possible. So we can see actual net income.</t>
  </si>
  <si>
    <t>Add the tax taken at source plus the amount received in the bank.</t>
  </si>
  <si>
    <t>Ensure that tax document or evidence of tax at source is uploaded upon detection of income.</t>
  </si>
  <si>
    <t>Yes for estimated tax amounts, and will be sent over to HMRC</t>
  </si>
  <si>
    <t>When user picks capital gains income as an income type upon setup.</t>
  </si>
  <si>
    <t>automatically applied</t>
  </si>
  <si>
    <t>deduct this from the net gains</t>
  </si>
  <si>
    <t>Scotland - Income Tax (Applies to Employment/Self Employment Income/Property Income/Trust Income/Foreign Income)</t>
  </si>
  <si>
    <t>Capital Gains Rates - Applies to all UK</t>
  </si>
  <si>
    <t>Savings Income Rates - Applies to all UK</t>
  </si>
  <si>
    <t>Dividend Income Rates - Applies to all UK</t>
  </si>
  <si>
    <t>England, Wales, Northern Ireland - Income Tax (Applies to Employment/Self Employment Income/Property Income/Trust Income/Foreign Income)</t>
  </si>
  <si>
    <t>Band</t>
  </si>
  <si>
    <t>Taxable Income Range</t>
  </si>
  <si>
    <t>Rate</t>
  </si>
  <si>
    <t>Personal Allowance</t>
  </si>
  <si>
    <t>£0 – £12,570</t>
  </si>
  <si>
    <t>Basic Rate</t>
  </si>
  <si>
    <t>£12,571 – £50,270</t>
  </si>
  <si>
    <t>Higher Rate</t>
  </si>
  <si>
    <t>£50,271 – £125,140</t>
  </si>
  <si>
    <t>Additional Rate</t>
  </si>
  <si>
    <t>Over £125,140</t>
  </si>
  <si>
    <t>Note: The Personal Allowance tapers by £1 for every £2 of income over £100,000. It is fully withdrawn at £125,140.</t>
  </si>
  <si>
    <t>Example 1</t>
  </si>
  <si>
    <t>(This is for calculation for users view on daily tax)</t>
  </si>
  <si>
    <t>Employment</t>
  </si>
  <si>
    <t xml:space="preserve">Property Income </t>
  </si>
  <si>
    <t>Since income &gt;100k</t>
  </si>
  <si>
    <t>To take off</t>
  </si>
  <si>
    <t>Tax</t>
  </si>
  <si>
    <t>If the users income uses up all the first band just take the upper limit less the lower limit.</t>
  </si>
  <si>
    <t>Tapered personal allowance</t>
  </si>
  <si>
    <t>Example 2</t>
  </si>
  <si>
    <t>Pension</t>
  </si>
  <si>
    <t>total in paid to registered UK pension provider - pension paid in bank times by 100 divided by 80 always.</t>
  </si>
  <si>
    <t>Since income &lt;100k full personal allowance given of £12,570</t>
  </si>
  <si>
    <t>Taxable income</t>
  </si>
  <si>
    <t>Total Income less deductions</t>
  </si>
  <si>
    <t>Total Income</t>
  </si>
  <si>
    <t>So the pension paid by the user, only helps in calculating the personal allowance, and it not being tapered. The only relief available tat will directly reduce your liability is the tax deducted at source.</t>
  </si>
  <si>
    <t>Tax deducted at source</t>
  </si>
  <si>
    <t>Starter Rate</t>
  </si>
  <si>
    <t>£12,571 – £14,876</t>
  </si>
  <si>
    <t>£14,877 – £26,561</t>
  </si>
  <si>
    <t>Intermediate Rate</t>
  </si>
  <si>
    <t>£26,562 – £43,662</t>
  </si>
  <si>
    <t>£43,663 – £75,000</t>
  </si>
  <si>
    <t>Advanced Rate</t>
  </si>
  <si>
    <t>£75,001 – £125,140</t>
  </si>
  <si>
    <t>Top Rate</t>
  </si>
  <si>
    <t>Trigger these if Individual home address is in any of these jurisdictions, and if any of the income chosen above is picked by the user upon setup.</t>
  </si>
  <si>
    <t>Then if the remainder then falls into the next 40% band, take the taxable income total less the lower limit &gt; If this had fallen into the additional rate band, then we would have done the same as above.</t>
  </si>
  <si>
    <t>Same rules apply, just different bands.</t>
  </si>
  <si>
    <t>Trigger these if Individual home address is in SCOTLAND ONLY, and if any of the income chosen above is picked by the user upon setup.</t>
  </si>
  <si>
    <t>These rates apply across England, Wales, Northern Ireland, and Scotland.</t>
  </si>
  <si>
    <t>Tax Rate on Dividends</t>
  </si>
  <si>
    <t>Dividend Allowance (first £500)</t>
  </si>
  <si>
    <t>Note: You pay dividend tax based on where your total income places you in the income tax bands. The first £500 of dividend income is tax-free for all taxpayers.</t>
  </si>
  <si>
    <t>£0 - £500</t>
  </si>
  <si>
    <t>Tax Band</t>
  </si>
  <si>
    <t>Savings Tax Rate</t>
  </si>
  <si>
    <t>Basic Rate Taxpayer</t>
  </si>
  <si>
    <t>Higher Rate Taxpayer</t>
  </si>
  <si>
    <t>Additional Rate Taxpayer</t>
  </si>
  <si>
    <t>Band amounts</t>
  </si>
  <si>
    <t>Note: You may also qualify for the Starting Rate for Savings (0%) on up to £5,000 of savings interest if your total earned income is below approximately £17,570.</t>
  </si>
  <si>
    <t>Savings income includes interest from bank accounts, building societies, government bonds, and corporate bonds.</t>
  </si>
  <si>
    <t>Only available if total income is below the personal allowance threshold. Remove this allowance if annual cumulative total income over &gt;17,570</t>
  </si>
  <si>
    <t>Income Loss (Applied to all income types but capital gains)</t>
  </si>
  <si>
    <t>Capital Loss</t>
  </si>
  <si>
    <t>Income types</t>
  </si>
  <si>
    <t>Same-year relief</t>
  </si>
  <si>
    <t>Carry back to previous year</t>
  </si>
  <si>
    <t>Carry forward</t>
  </si>
  <si>
    <t>Early years loss relief</t>
  </si>
  <si>
    <t>Terminal loss relief</t>
  </si>
  <si>
    <t>Offset against current year gains</t>
  </si>
  <si>
    <t>Carry forward unused losses</t>
  </si>
  <si>
    <t>lossesAppliedToGeneralIncome</t>
  </si>
  <si>
    <t>lossesCarriedBackToPreviousYear</t>
  </si>
  <si>
    <t>lossesCarriedForward</t>
  </si>
  <si>
    <t>earlyTradeLossesRelief</t>
  </si>
  <si>
    <t>terminalLossRelief</t>
  </si>
  <si>
    <t>lossesUsedAgainstGains</t>
  </si>
  <si>
    <t>Self-employment, FHL</t>
  </si>
  <si>
    <t>New self-employment</t>
  </si>
  <si>
    <t>Ceased self-employment</t>
  </si>
  <si>
    <t>Applicable to:</t>
  </si>
  <si>
    <t>Capital gains</t>
  </si>
  <si>
    <t>Offer prompt to carry back up to 3 years (FIFO)</t>
  </si>
  <si>
    <t>Apply against prior 3 years' profits (LIFO)</t>
  </si>
  <si>
    <t>Offset against current year gains before allowance</t>
  </si>
  <si>
    <t>Store in "loss pool" to auto-apply to future gains</t>
  </si>
  <si>
    <t>Allowable Expenses</t>
  </si>
  <si>
    <t>Disallowable Expenses</t>
  </si>
  <si>
    <t>Asset Type</t>
  </si>
  <si>
    <t>Higher/Additional Rate Taxpayer</t>
  </si>
  <si>
    <t>Shares, crypto, general assets</t>
  </si>
  <si>
    <t>Residential property</t>
  </si>
  <si>
    <t>4. How It Works</t>
  </si>
  <si>
    <t>1. Add up all your gains from selling assets in the year.</t>
  </si>
  <si>
    <t>2. Subtract your CGT allowance (£3,000).</t>
  </si>
  <si>
    <t>3. Add your remaining gains to your total income to work out your tax band.</t>
  </si>
  <si>
    <t>4. Pay 10% or 18% on gains in the basic rate band.</t>
  </si>
  <si>
    <t>5. Pay 20% or 24% on gains above that.</t>
  </si>
  <si>
    <t>- Subtract £3,000 allowance → £7,000 taxable gain</t>
  </si>
  <si>
    <t>- Income + gain = £37,000 → all in basic rate</t>
  </si>
  <si>
    <t>- CGT = 10% × £7,000 = £700</t>
  </si>
  <si>
    <t>- Class 2: Flat rate £3.45/week if profits are £6,725 or more.</t>
  </si>
  <si>
    <t>Profit Band</t>
  </si>
  <si>
    <t>Annual Equivalent</t>
  </si>
  <si>
    <t>Rate (Class 4)</t>
  </si>
  <si>
    <t>Below £12,570</t>
  </si>
  <si>
    <t>Main Rate</t>
  </si>
  <si>
    <t>Above £50,270</t>
  </si>
  <si>
    <t>4. Example – Sole Trader with £30,000 Profit</t>
  </si>
  <si>
    <t>• Class 2 = £3.45 × 52 = £179.40</t>
  </si>
  <si>
    <t>• Class 4:</t>
  </si>
  <si>
    <t xml:space="preserve">  - First £12,570 = 0%</t>
  </si>
  <si>
    <t xml:space="preserve">  - £30,000 − £12,570 = £17,430 at 6% = £1,045.80</t>
  </si>
  <si>
    <t>• Total NI = £179.40 + £1,045.80 = £1,225.20</t>
  </si>
  <si>
    <t>National Insurance - Applies to all UK</t>
  </si>
  <si>
    <t>If total NI is more than £6k, prompt user that they may be eligible for a refund and must check with HMRC on paying too much NI.</t>
  </si>
  <si>
    <t>- Class 4: Based on profits ONLY FROM SELF EMPLOYED/Sole trader</t>
  </si>
  <si>
    <t>"You may be eligible for a refund of Class 4 National Insurance if your total NI contributions exceed the HMRC limit. Submit Form CA5610 after your tax return to request a review."</t>
  </si>
  <si>
    <t>Unlimited - up to full gain can be deferred.</t>
  </si>
  <si>
    <t>Sale of a qualifying business asset and the proceeds are reinvested into another qualifying business asset within 3 years before or after.</t>
  </si>
  <si>
    <t>"Have you reinvested the proceeds of a business asset sale into another asset? If so what date (and this brings all the transactions on that date and they choose the transaction this relates to) "</t>
  </si>
  <si>
    <t>Loss Relief/Annual Exempt Amount/Rollover Relief/Gift Holdover Relief</t>
  </si>
  <si>
    <t>FTCR/Annual Exempt Amount/Loss Relief Current Year/Loss BF/Remittance Basis Relief</t>
  </si>
  <si>
    <t>Capital Allowances/ Mortgage Interest/Pension Contributions/Rollover Relief/FTCR</t>
  </si>
  <si>
    <t>Capital Allowances/ Mortgage Interest/Pension Contributions/Rollover Relief</t>
  </si>
  <si>
    <t>Property Allowance/Partial Mortgage Interest - 20%/If sale of property Capital Gains</t>
  </si>
  <si>
    <t>• Sale Proceeds: £200,000</t>
  </si>
  <si>
    <t>• Original Purchase Cost: £120,000</t>
  </si>
  <si>
    <t>• Capital Gain: £200,000 – £120,000 = £80,000</t>
  </si>
  <si>
    <t>• CGT Annual Exemption (2025/26): £3,000</t>
  </si>
  <si>
    <t>• Taxable Gain: £80,000 – £3,000 = £77,000</t>
  </si>
  <si>
    <t>Assume individual is a higher rate taxpayer:</t>
  </si>
  <si>
    <t>• CGT Rate (residential property): 24%</t>
  </si>
  <si>
    <t>• Tax Due: £77,000 × 24% = £18,480</t>
  </si>
  <si>
    <t>Example 2 - Standard Relief</t>
  </si>
  <si>
    <t>• Asset Sold: Investment property, House, Flat/Apartment, Holiday home, Private Student Accomodation, Property under construction</t>
  </si>
  <si>
    <t>• Original Purchase Cost: £120,000 (ALWAYS Prompt this if income received way out of range specified, if user specifies a sale of asset, ask them for document proving original cost) - For HMRC purposes. If not they can just specify amount.</t>
  </si>
  <si>
    <t>You earn £30,000 and original cost is £20,000 and make a £10,000 capital gain (not property) - (ALWAYS Prompt this if income received way out of range specified, if user specifies a sale of asset, ask them for document proving original cost - For HMRC purposes. If not they can just specify amount.</t>
  </si>
  <si>
    <t>Example 3: Business Asset Rollover Relief Applied</t>
  </si>
  <si>
    <t>• Asset Sold: Shop premises (used in a sole trader business)</t>
  </si>
  <si>
    <t>• Capital Gain: £80,000</t>
  </si>
  <si>
    <t>• Amount Reinvested in new business premises: £150,000</t>
  </si>
  <si>
    <t>• Amount not reinvested: £50,000 (200,000 – 150,000)</t>
  </si>
  <si>
    <t>• Chargeable Gain Now: £50,000</t>
  </si>
  <si>
    <t>• Deferred Gain: £80,000 – £50,000 = £30,000</t>
  </si>
  <si>
    <t>• New Asset Cost: £150,000 – £30,000 = £120,000 (base cost for future CGT)</t>
  </si>
  <si>
    <t>So the relief reduces the chargeable gain, and then in the futre reduces the cost of the asset, which means nil effect and relief for this year until the asset is sold.</t>
  </si>
  <si>
    <t>So the relief reduces the chargeable gain, and then in the future reduces the cost of the asset, which means nil effect and relief for this year until the asset is sold.</t>
  </si>
  <si>
    <t>If asset sold and bought are bought qualifying assets then relief can be applied. If gain&gt; reinvested amount -&gt; Defer up to reinvested amount, and tax difference now. -&gt; Reduce new asset base cost by deferred portion only.</t>
  </si>
  <si>
    <t>Yes for estimated tax amounts, and will be sent over to HMRC (Gain amount, relief amount claimed, adjusted base cost of the new asset.)</t>
  </si>
  <si>
    <t>Property Income (Commercial Property)</t>
  </si>
  <si>
    <t>Property Income (Residential Property)</t>
  </si>
  <si>
    <t>Property Income (FHL)</t>
  </si>
  <si>
    <t>Property Income (Rent-A-Room)</t>
  </si>
  <si>
    <t>Including foreign income of each</t>
  </si>
  <si>
    <t>Property Income (FHL based in UK)</t>
  </si>
  <si>
    <t>Property Income (Commercial Property rest of world)</t>
  </si>
  <si>
    <t>User has specified Foreign dividend income upon setup. And amount hits the bank.</t>
  </si>
  <si>
    <t>Ask user to upload documentation on tax paid abroad if applicable</t>
  </si>
  <si>
    <t>Capped at UK TAX DUE</t>
  </si>
  <si>
    <t>When user specifies foreign tax, IB should compare UK translated foregin tax to UK tax. Always cap at UK tax due. If Foreign&lt;UK then Tax payable. If Foreign&gt;UK, then no extra tax payable.</t>
  </si>
  <si>
    <t>User has specified Foreign savings income upon setup. And amount hits the bank.</t>
  </si>
  <si>
    <t>User has specified Foreign property income for residential properties upon setup. And amount hits the bank.</t>
  </si>
  <si>
    <t>Apply if income (or one of the incomes chosen) chosen is property income. If total allowable expenses surpass £1k mark, remove allowance and use deductible expenses instead.</t>
  </si>
  <si>
    <t>Apply if income (or one of the incomes chosen) chosen is property income (Residential property). If total allowable expenses surpass £1k mark, remove allowance and use deductible expenses instead.</t>
  </si>
  <si>
    <t>Residential Rental Income</t>
  </si>
  <si>
    <t>whatever is shown in GL</t>
  </si>
  <si>
    <t>Sub-Income category shown is picked.</t>
  </si>
  <si>
    <t>fuzzy matching shows amount paid into pension - Get AI ML to fuzzy match to list of registered UK pension providers. If on this list then assume relief, and if this income is chosen.</t>
  </si>
  <si>
    <t>Is an allowable expense, deduct 100% of cost</t>
  </si>
  <si>
    <t>General</t>
  </si>
  <si>
    <t>Beds</t>
  </si>
  <si>
    <t>Wardrobes</t>
  </si>
  <si>
    <t>Other Furniture</t>
  </si>
  <si>
    <t>Cooker</t>
  </si>
  <si>
    <t>Fridge</t>
  </si>
  <si>
    <t>Dishwasher</t>
  </si>
  <si>
    <t>Fire Alarm System</t>
  </si>
  <si>
    <t>Broadband Routers</t>
  </si>
  <si>
    <t>Main Pool</t>
  </si>
  <si>
    <t>financeCosts</t>
  </si>
  <si>
    <t>Is an allowable expense, deduct 20% of cost</t>
  </si>
  <si>
    <t>Domicile Detection</t>
  </si>
  <si>
    <t>"Your data suggests a strong UK or foreign footprint. We recommend reviewing your domicile/residency status before claiming remittance basis"</t>
  </si>
  <si>
    <t>Developer to look at "Domicile risk" in background - We will create a presence score.</t>
  </si>
  <si>
    <t>Resident Years</t>
  </si>
  <si>
    <t>Annual Charge</t>
  </si>
  <si>
    <t>7 - 9 years</t>
  </si>
  <si>
    <t>12 to 14 years</t>
  </si>
  <si>
    <t>0-7 Years</t>
  </si>
  <si>
    <t>Free</t>
  </si>
  <si>
    <t xml:space="preserve">If you do not remit the funds back to the UK, you can claim remittance basis relief - If a UK resident and non domiciled </t>
  </si>
  <si>
    <t>remittanceBasis</t>
  </si>
  <si>
    <t>either true or false if presence score is high</t>
  </si>
  <si>
    <t>Only activate when user chooses "Foreign income" as income category - Regardless of sub-inome category</t>
  </si>
  <si>
    <t>Residence Test</t>
  </si>
  <si>
    <t>&gt;183 days (being 365 divided by 2 - More than half the days of the year)</t>
  </si>
  <si>
    <t>Then Tax resident</t>
  </si>
  <si>
    <t>&lt;183 Days</t>
  </si>
  <si>
    <t>Check residence ties</t>
  </si>
  <si>
    <t>AI ML Indication</t>
  </si>
  <si>
    <t>Bank Feed</t>
  </si>
  <si>
    <t>Cash &amp; ATM</t>
  </si>
  <si>
    <t>Check</t>
  </si>
  <si>
    <t>Arts</t>
  </si>
  <si>
    <t>Music</t>
  </si>
  <si>
    <t>Dating</t>
  </si>
  <si>
    <t>Movies &amp; DVDs</t>
  </si>
  <si>
    <t>Newspaper &amp; Magazines</t>
  </si>
  <si>
    <t>Social Club</t>
  </si>
  <si>
    <t>Sport</t>
  </si>
  <si>
    <t>Education</t>
  </si>
  <si>
    <t>Tuition</t>
  </si>
  <si>
    <t>Student Loan</t>
  </si>
  <si>
    <t>Books &amp; Supplies</t>
  </si>
  <si>
    <t>Shopping</t>
  </si>
  <si>
    <t>Pets</t>
  </si>
  <si>
    <t>Groceries</t>
  </si>
  <si>
    <t>Clothing</t>
  </si>
  <si>
    <t>Home</t>
  </si>
  <si>
    <t>Books</t>
  </si>
  <si>
    <t>Electronics &amp; Software</t>
  </si>
  <si>
    <t>Hobbies</t>
  </si>
  <si>
    <t>Sporting Goods</t>
  </si>
  <si>
    <t>Personal Care</t>
  </si>
  <si>
    <t>Hair</t>
  </si>
  <si>
    <t>Laundry</t>
  </si>
  <si>
    <t>Beauty</t>
  </si>
  <si>
    <t>Spa &amp; Massage</t>
  </si>
  <si>
    <t>Health &amp; Fitness</t>
  </si>
  <si>
    <t>Dentist</t>
  </si>
  <si>
    <t>Doctor</t>
  </si>
  <si>
    <t>Eye care</t>
  </si>
  <si>
    <t>Pharmacy</t>
  </si>
  <si>
    <t>Gym</t>
  </si>
  <si>
    <t>Sports</t>
  </si>
  <si>
    <t>Food &amp; Dining</t>
  </si>
  <si>
    <t>Catering</t>
  </si>
  <si>
    <t>Coffee shops</t>
  </si>
  <si>
    <t>Delivery</t>
  </si>
  <si>
    <t>Fast Food</t>
  </si>
  <si>
    <t>Restaurants</t>
  </si>
  <si>
    <t>Bars</t>
  </si>
  <si>
    <t>Gifts &amp; Donations</t>
  </si>
  <si>
    <t>Gift</t>
  </si>
  <si>
    <t>Charity</t>
  </si>
  <si>
    <t>Investments</t>
  </si>
  <si>
    <t>Equities</t>
  </si>
  <si>
    <t>Bonds</t>
  </si>
  <si>
    <t>Bank products</t>
  </si>
  <si>
    <t>Retirement</t>
  </si>
  <si>
    <t>Annuities</t>
  </si>
  <si>
    <t>Real-estate</t>
  </si>
  <si>
    <t>Bills &amp; Utilities</t>
  </si>
  <si>
    <t>Television</t>
  </si>
  <si>
    <t>Home Phone</t>
  </si>
  <si>
    <t>Internet</t>
  </si>
  <si>
    <t>Mobile Phone</t>
  </si>
  <si>
    <t>Utilities</t>
  </si>
  <si>
    <t>Auto &amp; Transport</t>
  </si>
  <si>
    <t>Auto Insurance</t>
  </si>
  <si>
    <t>Auto Payment</t>
  </si>
  <si>
    <t>Parking</t>
  </si>
  <si>
    <t>Public transport</t>
  </si>
  <si>
    <t>Service &amp; Auto Parts</t>
  </si>
  <si>
    <t>Taxi</t>
  </si>
  <si>
    <t>Gas &amp; Fuel</t>
  </si>
  <si>
    <t>Travel</t>
  </si>
  <si>
    <t>Air Travel</t>
  </si>
  <si>
    <t>Hotel</t>
  </si>
  <si>
    <t>Rental Car &amp; Taxi</t>
  </si>
  <si>
    <t>Vacation</t>
  </si>
  <si>
    <t>Fees &amp; Charges</t>
  </si>
  <si>
    <t>Service Fee</t>
  </si>
  <si>
    <t>Late Fee</t>
  </si>
  <si>
    <t>Finance Charge</t>
  </si>
  <si>
    <t>ATM Fee</t>
  </si>
  <si>
    <t>Bank Fee</t>
  </si>
  <si>
    <t>Commissions</t>
  </si>
  <si>
    <t>Business Services</t>
  </si>
  <si>
    <t>Advertising</t>
  </si>
  <si>
    <t>Financial Services</t>
  </si>
  <si>
    <t>Office Supplies</t>
  </si>
  <si>
    <t>Printing</t>
  </si>
  <si>
    <t>Shipping</t>
  </si>
  <si>
    <t>Personal Services</t>
  </si>
  <si>
    <t>Advisory and Consulting</t>
  </si>
  <si>
    <t>Taxes</t>
  </si>
  <si>
    <t>Gambling</t>
  </si>
  <si>
    <t>Betting</t>
  </si>
  <si>
    <t>Lottery</t>
  </si>
  <si>
    <t>Casino</t>
  </si>
  <si>
    <t>Rent</t>
  </si>
  <si>
    <t>Secured loans</t>
  </si>
  <si>
    <t>Pensions and Insurances</t>
  </si>
  <si>
    <t>Life insurance</t>
  </si>
  <si>
    <t>Buildings and contents insurance</t>
  </si>
  <si>
    <t>Health insurance</t>
  </si>
  <si>
    <t>Classification Subcategory</t>
  </si>
  <si>
    <t>Allowable</t>
  </si>
  <si>
    <t>Review</t>
  </si>
  <si>
    <t>Disallowable</t>
  </si>
  <si>
    <t>Allowable/Disallowable or Review</t>
  </si>
  <si>
    <t>IntelliBooks Prompt</t>
  </si>
  <si>
    <t>"Is this tuition of training related to your business or trade?"</t>
  </si>
  <si>
    <t>What IB must do in the background</t>
  </si>
  <si>
    <t>Add back to income</t>
  </si>
  <si>
    <t>TrueLayer classification category</t>
  </si>
  <si>
    <t>"We see you've bought some groceries! Was this grocery haul fuel for your business….or just dinner?"</t>
  </si>
  <si>
    <t>"Taking out cash? Let's find out if it was for business or just your weekend vibes."</t>
  </si>
  <si>
    <t>"Can you help me with this?"</t>
  </si>
  <si>
    <t>"Is this music for business…or just to keep you dancing while doing the dishes?"</t>
  </si>
  <si>
    <t>"Is this magazine helping your business….or just your Sunday chill?"</t>
  </si>
  <si>
    <t>"Are these books for trade?...or just for free time?"</t>
  </si>
  <si>
    <t>"Oh! Im not sure what this may be. Help me with this and I sure won't forget the next time" (Then give listing of what is shown in this list, and then ask if this is for trade.)</t>
  </si>
  <si>
    <t xml:space="preserve"> If not for trade, then disallow and add back to income. - Prompt user to add receipt for VAT or just evidence</t>
  </si>
  <si>
    <t>"Is this something your business needs….or just a nice fit?"</t>
  </si>
  <si>
    <t>"Was this purchase for trade purposes?"</t>
  </si>
  <si>
    <t>Deduct from expenses</t>
  </si>
  <si>
    <t>If directly paid from busines account then not for trade, disallow and add back to income.</t>
  </si>
  <si>
    <t>"Was this donation made personally using Gift Aid or paid directly from your business account?"</t>
  </si>
  <si>
    <t>"Was this paying to park your car…or paying for parking it badly?"</t>
  </si>
  <si>
    <t>If parking fine DISALLOW. If not then deduct</t>
  </si>
  <si>
    <t>If not for trade, then disallow and add back to income. - Prompt user to add receipt for VAT or just evidence</t>
  </si>
  <si>
    <t>"Was this cost for trade purposes?"</t>
  </si>
  <si>
    <t>Just record in Financial statements LEAVE OUT OF TAX CALCULATIONS</t>
  </si>
  <si>
    <t>Check CAPITAL ALLOWANCES Tab</t>
  </si>
  <si>
    <t>Mortgage Costs</t>
  </si>
  <si>
    <t>100% of costs are deductible, look at "Mortagage costs" in GL - HOWEVER ONLY INTEREST ELEMENT</t>
  </si>
  <si>
    <t>At the end of the tax year and with all that has been paid, ASK THE USER TO UPLOAD ANNUAL MORTGAGE STATEMENT FOR FURTHER DEDUCTIONS ON THEIR TAX LIABILITY.</t>
  </si>
  <si>
    <t>"You may be eligible for mortgage interest relief, since your income is an FHL, Can I have a breakdown of the mortgage interest on these payments? These are 100% deductible and will save you tax!" Then also give user as option to ask where they can get this information - "If you do not have this on your Lnder's online portal, please ask them for a copy of this document. We would also need to retain this for HMRC"</t>
  </si>
  <si>
    <t>When user uploads document OCR should calculate interest in relevant tax year. Take the amount and apply to the tax returns.</t>
  </si>
  <si>
    <t>If payment to lender classed as mortgage cost - Only ask user at the end of the tax year.</t>
  </si>
  <si>
    <t>rentARoom ("claimed"= true or false), ("jointlyLet": true or false)</t>
  </si>
  <si>
    <t>£7,500 if sole owner - If 2 then £3,750 (HMRC doesn’t ask amount of people)</t>
  </si>
  <si>
    <t>If User picks Rent A room relief ask them on their dashboard, whether they are the sole owner if not, how many owners and if the would like to claim rent a room releif.</t>
  </si>
  <si>
    <t>When this income type is chosen</t>
  </si>
  <si>
    <t>Rent-A-Room Relief (When they pick this income, ask user if they live in the property)</t>
  </si>
  <si>
    <t>Apply £7,500 if they say jointly let £3,750 - We deduct this from income _ IF DEDCTIBLE EXPENSES ARE MORE THEN DEDUCT THAT INSTEAD - Dedduct higher of allowable expenses and Relief.</t>
  </si>
  <si>
    <t>propertyIncomeAllowance</t>
  </si>
  <si>
    <t>If Expenses is lower than £1k and income over £1k - Take this at year end</t>
  </si>
  <si>
    <t>Deduct £1k at the year end, If income is over £1k, and expenses lower at year end - Ask user if they want trading allowance and why they are eligible.</t>
  </si>
  <si>
    <t>residentialFinancialCost</t>
  </si>
  <si>
    <t>20% of costs are deductible, Trigger if there are "Mortagage costs" in GL - HOWEVER ONLY INTEREST ELEMENT - By asking user for loan statement</t>
  </si>
  <si>
    <t>Cash</t>
  </si>
  <si>
    <t>If uploaded by user OCR detects Interest element and records the amount relating to te tax year.</t>
  </si>
  <si>
    <t>Percentage</t>
  </si>
  <si>
    <t>If more transations out of the UK, then trigger non-domicile</t>
  </si>
  <si>
    <t>Check how many UK transactions in a day if everyday UK transactions are daily, then UK Then Domicile</t>
  </si>
  <si>
    <t>What does this mean</t>
  </si>
  <si>
    <t>If you are tax resident, your worldwide income is subject to UK tax, unless you claim the remittance basis.</t>
  </si>
  <si>
    <t>Remittance Basis Charge</t>
  </si>
  <si>
    <t>15 to 20 Years</t>
  </si>
  <si>
    <t>1. GLOBAL RESIDENCE &amp; DOMICILE CHECK</t>
  </si>
  <si>
    <t xml:space="preserve">    → Do NOT apply UK tax rules on foreign income</t>
  </si>
  <si>
    <t xml:space="preserve">    → Tax ALL worldwide income and gains under the ARISING BASIS</t>
  </si>
  <si>
    <t xml:space="preserve">    → Proceed to remittance logic</t>
  </si>
  <si>
    <t>2. REMITTANCE BASIS LOGIC (For UK Residents who are Non-Domiciled)</t>
  </si>
  <si>
    <t>IF user is UK resident AND non-UK domiciled THEN:</t>
  </si>
  <si>
    <t xml:space="preserve">        → Automatically apply remittance basis</t>
  </si>
  <si>
    <t xml:space="preserve">        → No RBC (Remittance Basis Charge), no claim needed</t>
  </si>
  <si>
    <t xml:space="preserve">        → Do NOT tax unremitted income/gains</t>
  </si>
  <si>
    <t xml:space="preserve">    ELSE IF user claims remittance basis:</t>
  </si>
  <si>
    <t xml:space="preserve">        → IF user has been UK resident:</t>
  </si>
  <si>
    <t xml:space="preserve">            - 7+ of last 9 years → RBC = £30,000</t>
  </si>
  <si>
    <t xml:space="preserve">            - 12+ of last 14 years → RBC = £60,000</t>
  </si>
  <si>
    <t xml:space="preserve">            - 15+ of last 20 years → NOT ALLOWED (deemed domiciled)</t>
  </si>
  <si>
    <t xml:space="preserve">        → Tax only:</t>
  </si>
  <si>
    <t xml:space="preserve">            - UK income/gains</t>
  </si>
  <si>
    <t xml:space="preserve">            - Foreign income/gains that are remitted to the UK</t>
  </si>
  <si>
    <t xml:space="preserve">        → REMOVE:</t>
  </si>
  <si>
    <t xml:space="preserve">            - Personal allowance</t>
  </si>
  <si>
    <t xml:space="preserve">            - Capital gains exemption</t>
  </si>
  <si>
    <t xml:space="preserve">    ELSE:</t>
  </si>
  <si>
    <t xml:space="preserve">        → Tax all worldwide income/gains on ARISING BASIS</t>
  </si>
  <si>
    <t>3. EMPLOYMENT INCOME LOGIC</t>
  </si>
  <si>
    <t>IF income is from employment or self-employment THEN:</t>
  </si>
  <si>
    <t xml:space="preserve">        → Tax ALL income on arising basis</t>
  </si>
  <si>
    <t xml:space="preserve">        → DO NOT allow remittance basis</t>
  </si>
  <si>
    <t xml:space="preserve">    ELSE IF duties were performed OUTSIDE UK AND paid into foreign account:</t>
  </si>
  <si>
    <t xml:space="preserve">        → Allow remittance basis (if other conditions met)</t>
  </si>
  <si>
    <t>4. FOREIGN INCOME TYPES – RULES &amp; FORMS</t>
  </si>
  <si>
    <t>Tax Logic Summary</t>
  </si>
  <si>
    <t>Foreign Employment</t>
  </si>
  <si>
    <t>Tax on arising basis if UK duties; remittance basis only if work abroad + paid abroad</t>
  </si>
  <si>
    <t>Foreign Self-Employment</t>
  </si>
  <si>
    <t>Remittance basis allowed if earned abroad + not remitted</t>
  </si>
  <si>
    <t>Foreign Dividends</t>
  </si>
  <si>
    <t>Remittance basis allowed if not remitted to UK</t>
  </si>
  <si>
    <t>Foreign Bank Interest</t>
  </si>
  <si>
    <t>Foreign Property Income</t>
  </si>
  <si>
    <t>Remittance basis allowed if income earned abroad and not remitted</t>
  </si>
  <si>
    <t>Foreign Capital Gains</t>
  </si>
  <si>
    <t>Remittance basis allowed if gains on foreign assets not remitted</t>
  </si>
  <si>
    <t>Foreign Pensions</t>
  </si>
  <si>
    <t>Usually taxed on arising basis</t>
  </si>
  <si>
    <t>Crypto (foreign held)</t>
  </si>
  <si>
    <t>Treated as foreign asset – remittance basis if not remitted</t>
  </si>
  <si>
    <t>Trust Income (offshore)</t>
  </si>
  <si>
    <t>Remittance basis if unremitted – complex, flag for review</t>
  </si>
  <si>
    <t>5. REMITTANCE FLAG</t>
  </si>
  <si>
    <t xml:space="preserve">    → Remitted = Taxable</t>
  </si>
  <si>
    <t>ELSE:</t>
  </si>
  <si>
    <t xml:space="preserve">    → Unremitted = Not taxable if remittance basis applies</t>
  </si>
  <si>
    <t>6. DATA FLAGS FOR FRONTEND INTAKE</t>
  </si>
  <si>
    <t>Field</t>
  </si>
  <si>
    <t>Value</t>
  </si>
  <si>
    <t>Logic Triggered</t>
  </si>
  <si>
    <t>is_uk_tax_resident</t>
  </si>
  <si>
    <t>true/false</t>
  </si>
  <si>
    <t>Applies UK tax logic</t>
  </si>
  <si>
    <t>is_non_domiciled</t>
  </si>
  <si>
    <t>Enables remittance logic</t>
  </si>
  <si>
    <t>claim_remittance_basis</t>
  </si>
  <si>
    <t>Triggers remittance logic + RBC check</t>
  </si>
  <si>
    <t>foreign_income_amount</t>
  </si>
  <si>
    <t>£ amount</t>
  </si>
  <si>
    <t>If ≥ £2,000 → claim needed</t>
  </si>
  <si>
    <t>foreign_income_remitted</t>
  </si>
  <si>
    <t>If true → tax it</t>
  </si>
  <si>
    <t>foreign_income_type</t>
  </si>
  <si>
    <t>employment, dividends, etc.</t>
  </si>
  <si>
    <t>Directs to appropriate SA form logic</t>
  </si>
  <si>
    <t>employment_duties_location</t>
  </si>
  <si>
    <t>UK or Abroad</t>
  </si>
  <si>
    <t>If UK → no remittance allowed</t>
  </si>
  <si>
    <t>years_of_uk_residency</t>
  </si>
  <si>
    <t>Number (0–20)</t>
  </si>
  <si>
    <t>Triggers RBC or deemed domicile logic</t>
  </si>
  <si>
    <t>IF user is NOT UK tax resident: (&lt;183 days per year)</t>
  </si>
  <si>
    <t>ELSE IF user is UK tax resident AND UK domiciled: (Check rules above - Cell A14 and A15)</t>
  </si>
  <si>
    <t>Domicile?</t>
  </si>
  <si>
    <t>If Home address based in the UK upon user setup</t>
  </si>
  <si>
    <t>Residency?</t>
  </si>
  <si>
    <t>IBAN tracker result on days in the UK</t>
  </si>
  <si>
    <t>If UK transactions &gt;50% in a day we put UK, check IBAN (if GB….) - We check each day what transactions are country predominant</t>
  </si>
  <si>
    <t xml:space="preserve">    IF foreign income/gains &lt; £2,000 PER ANNUM AND no remittances paid into a UK bank account:</t>
  </si>
  <si>
    <t xml:space="preserve">            - 0+ of last 7 years → RBC = £0</t>
  </si>
  <si>
    <t>Ask User- "How long have you been living in the UK?"</t>
  </si>
  <si>
    <t>7-11 Years</t>
  </si>
  <si>
    <t>12 - 14 years</t>
  </si>
  <si>
    <t>15 Years or more</t>
  </si>
  <si>
    <t>Less than 7 years</t>
  </si>
  <si>
    <t>NO RBC</t>
  </si>
  <si>
    <t>RBC = £30k</t>
  </si>
  <si>
    <t>RBC = £60k</t>
  </si>
  <si>
    <t>UK domiciled</t>
  </si>
  <si>
    <t xml:space="preserve">    IF duties were performed IN the UK: (IBAN rule to see where user was - If abroad more than UK)</t>
  </si>
  <si>
    <t>IF bank feeds show foreign income is remitted to the UK":</t>
  </si>
  <si>
    <t xml:space="preserve"> If not for trade, then disallow and add back to income. - Prompt user to add receipt for VAT or just evidence - If for devices then Capital allowances. If software used for trade &gt; allowable expense if &gt;£500 then this should trigger capital allowance questions</t>
  </si>
  <si>
    <t>Profit and Loss</t>
  </si>
  <si>
    <t>Balance Sheet</t>
  </si>
  <si>
    <t xml:space="preserve">"This looks like an asset purchase, please help me with what this is for correct tax treatment" </t>
  </si>
  <si>
    <t>Review (If over &gt;500)</t>
  </si>
  <si>
    <t>Allowable if under £500</t>
  </si>
  <si>
    <t>Deduct from expenses if under £500</t>
  </si>
  <si>
    <t>Council Tax</t>
  </si>
  <si>
    <t>Income Tax</t>
  </si>
  <si>
    <t>Corporation Tax</t>
  </si>
  <si>
    <t>Value Added Tax</t>
  </si>
  <si>
    <t>National Insurance Contributions</t>
  </si>
  <si>
    <t>Legal Fees</t>
  </si>
  <si>
    <t>"You may be eligible for mortgage interest relief, since your income is an FHL, Can I have a breakdown of the mortgage interest on these payments? These are 100% deductible and will save you tax!" Then also give user as option to ask where they can get this information - "If you do not have this on your Lender's online portal, please ask them for a copy of this document. We would also need to retain this for HMRC"</t>
  </si>
  <si>
    <t>Financial Statements</t>
  </si>
  <si>
    <t>FS Sub Category</t>
  </si>
  <si>
    <t>Cash at Bank</t>
  </si>
  <si>
    <t>Expenses</t>
  </si>
  <si>
    <t>Taxation</t>
  </si>
  <si>
    <t>M1</t>
  </si>
  <si>
    <t>N1</t>
  </si>
  <si>
    <t>O1–O4</t>
  </si>
  <si>
    <t>TypeApproval</t>
  </si>
  <si>
    <t>Vehicle Type</t>
  </si>
  <si>
    <t>Car/SUV/Minivan</t>
  </si>
  <si>
    <t>Electric Car</t>
  </si>
  <si>
    <t>M2 / M3</t>
  </si>
  <si>
    <t>Minibus / Coach / Bus</t>
  </si>
  <si>
    <t>Van / Pickup (≤ 3.5t)</t>
  </si>
  <si>
    <t>N2 / N3</t>
  </si>
  <si>
    <t>Medium/Heavy Goods Vehicle</t>
  </si>
  <si>
    <t>L1e / L2e</t>
  </si>
  <si>
    <t>Moped / 3-Wheel Moped</t>
  </si>
  <si>
    <t>L3e – L5e</t>
  </si>
  <si>
    <t>Motorcycle / Trike / Sidecar</t>
  </si>
  <si>
    <t>L6e / L7e</t>
  </si>
  <si>
    <t>Quadricycles / Microcars</t>
  </si>
  <si>
    <t>O1 – O4</t>
  </si>
  <si>
    <t>Trailers</t>
  </si>
  <si>
    <t>T</t>
  </si>
  <si>
    <t>Agricultural tractor</t>
  </si>
  <si>
    <t>🧾 Summary of Capital Allowance Types</t>
  </si>
  <si>
    <t>AIA (Annual Investment Allowance)</t>
  </si>
  <si>
    <t>FYA (First Year Allowance)</t>
  </si>
  <si>
    <t>WDA – Main Pool</t>
  </si>
  <si>
    <t>If typeApproval starts with...</t>
  </si>
  <si>
    <t>Then vehicleType =</t>
  </si>
  <si>
    <t>Then allowanceType =</t>
  </si>
  <si>
    <t>M1 + CO₂ &gt; 50g/km</t>
  </si>
  <si>
    <t>SRP (6%)</t>
  </si>
  <si>
    <t>M1 + CO₂ = 0</t>
  </si>
  <si>
    <t>FYA (100%)</t>
  </si>
  <si>
    <t>M1 + CO₂ ≤ 50g/km</t>
  </si>
  <si>
    <t>Low-Emission Car</t>
  </si>
  <si>
    <t>Main Pool (18%)</t>
  </si>
  <si>
    <t>N1, N2, N3</t>
  </si>
  <si>
    <t>Van / Truck</t>
  </si>
  <si>
    <t>AIA (100%)</t>
  </si>
  <si>
    <t>L3e, L4e, L5e</t>
  </si>
  <si>
    <t>L6e, L7e</t>
  </si>
  <si>
    <t>Microcar / Quad</t>
  </si>
  <si>
    <t>Treated like car → SRP or FYA depending on CO₂</t>
  </si>
  <si>
    <t>Trailer</t>
  </si>
  <si>
    <t>Tractor</t>
  </si>
  <si>
    <t>AIA Allowance</t>
  </si>
  <si>
    <t>Asset</t>
  </si>
  <si>
    <t>Fines &amp; Penalties</t>
  </si>
  <si>
    <t>Split out when user states interest amount on payment</t>
  </si>
  <si>
    <t>Review (If same amount goues out to bank or building society monthly)</t>
  </si>
  <si>
    <t>Self Employment Income (Trading Income)</t>
  </si>
  <si>
    <t>1)</t>
  </si>
  <si>
    <t>2)</t>
  </si>
  <si>
    <t>Deduct Allowable Expenses</t>
  </si>
  <si>
    <t>3)</t>
  </si>
  <si>
    <t>Add back Disallowable Expenses</t>
  </si>
  <si>
    <t>4)</t>
  </si>
  <si>
    <t>5)</t>
  </si>
  <si>
    <t>6)</t>
  </si>
  <si>
    <t>7)</t>
  </si>
  <si>
    <t>8)</t>
  </si>
  <si>
    <t>9)</t>
  </si>
  <si>
    <t>10)</t>
  </si>
  <si>
    <t>Personal Allowance tapering (step 2 calculation)</t>
  </si>
  <si>
    <t>Check if total taxable income is over 100k (PA tapering check)</t>
  </si>
  <si>
    <t>If savings income check personal savings allowance (PSA) and Starting rate of £5k allowance (if under PA allowance)</t>
  </si>
  <si>
    <t>If dividend income apply automating allowance of £500</t>
  </si>
  <si>
    <t>11)</t>
  </si>
  <si>
    <t>12)</t>
  </si>
  <si>
    <t>13)</t>
  </si>
  <si>
    <t>14)</t>
  </si>
  <si>
    <t>Apply Trading Allowance if expenses and lower than £1,000</t>
  </si>
  <si>
    <t>Apply Capital Allowances (if user has agreed to this tax saving and has an asset in the pool that can be claimed)</t>
  </si>
  <si>
    <t>If Property income has been chosen and the allowable property expenses is less than £1,000, then apply this. Or if no expenses, then apply this.</t>
  </si>
  <si>
    <t>Then Apply Personal allowance (Personal allowance calculation below with examples)</t>
  </si>
  <si>
    <t>Then Apply trading income to income bands (Calculation on next page)</t>
  </si>
  <si>
    <t>15)</t>
  </si>
  <si>
    <t>If Capital gains income, apply CGT £3,000 allowance. Also apply reliefs (Business Asset rollover relief on next page)</t>
  </si>
  <si>
    <t>Calculate the same way as normal income, just different allowances and bands</t>
  </si>
  <si>
    <t>Then Apply capital gains income to percentage (Calculation on next page, IF THIS INCOME HAS BEEN CHOSEN)</t>
  </si>
  <si>
    <t>Then Apply savings income to savings income bands (Calculation on next page, IF THIS INCOME HAS BEEN CHOSEN)</t>
  </si>
  <si>
    <t>Then Apply dividends income to dividend income bands (Calculation on next page, IF THIS INCOME HAS BEEN CHOSEN)</t>
  </si>
  <si>
    <t>Apply tax already deducted if also employed PAYE or CIS (Detected through HMRC API)</t>
  </si>
  <si>
    <t>16)</t>
  </si>
  <si>
    <t>17)</t>
  </si>
  <si>
    <t>Gift Aid</t>
  </si>
  <si>
    <t>Contribution in the year was £2,000</t>
  </si>
  <si>
    <t>Deduct £2,500 from total taxable income</t>
  </si>
  <si>
    <t>Gross up of £2k :</t>
  </si>
  <si>
    <t>EXAMPLE:</t>
  </si>
  <si>
    <t>Donation in the year was £1,000</t>
  </si>
  <si>
    <t>Gross up of £1k :</t>
  </si>
  <si>
    <t>Deduct £1,250 from total taxable income</t>
  </si>
  <si>
    <t>This can reduce the risk of your personal allowance being tapered if over £100k in total income</t>
  </si>
  <si>
    <t>Gift Aid Eligible Charity Name</t>
  </si>
  <si>
    <t>Cancer Research UK</t>
  </si>
  <si>
    <t>NSPCC</t>
  </si>
  <si>
    <t>British Red Cross</t>
  </si>
  <si>
    <t>Macmillan Cancer Support</t>
  </si>
  <si>
    <t>Oxfam GB</t>
  </si>
  <si>
    <t>Save the Children</t>
  </si>
  <si>
    <t>British Heart Foundation</t>
  </si>
  <si>
    <t>Marie Curie</t>
  </si>
  <si>
    <t>Mind (National Association for Mental Health)</t>
  </si>
  <si>
    <t>Shelter</t>
  </si>
  <si>
    <t>RSPCA</t>
  </si>
  <si>
    <t>The Salvation Army</t>
  </si>
  <si>
    <t>Barnardo's</t>
  </si>
  <si>
    <t>WaterAid</t>
  </si>
  <si>
    <t>Age UK</t>
  </si>
  <si>
    <t>The Trussell Trust</t>
  </si>
  <si>
    <t>Amnesty International UK</t>
  </si>
  <si>
    <t>UNICEF UK</t>
  </si>
  <si>
    <t>Children in Need</t>
  </si>
  <si>
    <t>The Prince’s Trust</t>
  </si>
  <si>
    <t>Christian Aid</t>
  </si>
  <si>
    <t>Action for Children</t>
  </si>
  <si>
    <t>The Guide Dogs for the Blind Association</t>
  </si>
  <si>
    <t>Alzheimer’s Society</t>
  </si>
  <si>
    <t>Samaritans</t>
  </si>
  <si>
    <t>Great Ormond Street Hospital Charity</t>
  </si>
  <si>
    <t>The Royal British Legion</t>
  </si>
  <si>
    <t>The Donkey Sanctuary</t>
  </si>
  <si>
    <t>National Autistic Society</t>
  </si>
  <si>
    <t>The Wildlife Trusts</t>
  </si>
  <si>
    <t>WWF UK</t>
  </si>
  <si>
    <t>Muslim Hands</t>
  </si>
  <si>
    <t>Islamic Relief UK</t>
  </si>
  <si>
    <t>CAFOD (Catholic Agency for Overseas Development)</t>
  </si>
  <si>
    <t>Jewish Care</t>
  </si>
  <si>
    <t>The Church of England</t>
  </si>
  <si>
    <t>Tearfund</t>
  </si>
  <si>
    <t>Scope</t>
  </si>
  <si>
    <t>Plan International UK</t>
  </si>
  <si>
    <t>Dogs Trust</t>
  </si>
  <si>
    <t>Blue Cross</t>
  </si>
  <si>
    <t>Cats Protection</t>
  </si>
  <si>
    <t>The RNLI</t>
  </si>
  <si>
    <t>Friends of the Earth</t>
  </si>
  <si>
    <t>ActionAid UK</t>
  </si>
  <si>
    <t>Help for Heroes</t>
  </si>
  <si>
    <t>Sightsavers</t>
  </si>
  <si>
    <t>World Vision UK</t>
  </si>
  <si>
    <t>Médecins Sans Frontières UK</t>
  </si>
  <si>
    <t>Known CIS Contractor (UK)</t>
  </si>
  <si>
    <t>Balfour Beatty</t>
  </si>
  <si>
    <t>Laing O’Rourke</t>
  </si>
  <si>
    <t>Skanska UK</t>
  </si>
  <si>
    <t>Mace Group</t>
  </si>
  <si>
    <t>Kier Group</t>
  </si>
  <si>
    <t>Costain Group</t>
  </si>
  <si>
    <t>Galliford Try</t>
  </si>
  <si>
    <t>Morgan Sindall</t>
  </si>
  <si>
    <t>Wates Group</t>
  </si>
  <si>
    <t>ISG Ltd</t>
  </si>
  <si>
    <t>Interserve</t>
  </si>
  <si>
    <t>Willmott Dixon</t>
  </si>
  <si>
    <t>Lendlease</t>
  </si>
  <si>
    <t>Bouygues UK</t>
  </si>
  <si>
    <t>Vinci Construction</t>
  </si>
  <si>
    <t>Sir Robert McAlpine</t>
  </si>
  <si>
    <t>Amey</t>
  </si>
  <si>
    <t>BAM Construct UK</t>
  </si>
  <si>
    <t>NG Bailey</t>
  </si>
  <si>
    <t>McLaren Construction</t>
  </si>
  <si>
    <t>Tarmac</t>
  </si>
  <si>
    <t>Redrow</t>
  </si>
  <si>
    <t>Taylor Wimpey</t>
  </si>
  <si>
    <t>Persimmon Homes</t>
  </si>
  <si>
    <t>Bellway Homes</t>
  </si>
  <si>
    <t>Barratt Developments</t>
  </si>
  <si>
    <t>Berkeley Group</t>
  </si>
  <si>
    <t>Keepmoat Homes</t>
  </si>
  <si>
    <t>Lovell Partnerships</t>
  </si>
  <si>
    <t>Hill Group</t>
  </si>
  <si>
    <t>Other</t>
  </si>
  <si>
    <t>Marriage Allowance</t>
  </si>
  <si>
    <t>Ask user if they are Married:</t>
  </si>
  <si>
    <t>List:</t>
  </si>
  <si>
    <t>Single</t>
  </si>
  <si>
    <t>Married</t>
  </si>
  <si>
    <t>Widowed</t>
  </si>
  <si>
    <t>Divorced</t>
  </si>
  <si>
    <t>If user states "Married" upon setup:</t>
  </si>
  <si>
    <t>Calculation:</t>
  </si>
  <si>
    <t>If income received is £2,400 ALWAYS DIVIDE BY 0.8</t>
  </si>
  <si>
    <t>20% is deducted at source at all times - so the user always receives 80% of the income - So always divide income by 0.8</t>
  </si>
  <si>
    <t>Original Income before CIS:</t>
  </si>
  <si>
    <t>2,400 / 0.8</t>
  </si>
  <si>
    <t>To get tax deducted amount</t>
  </si>
  <si>
    <t>3,000 - 2,400</t>
  </si>
  <si>
    <t>If Registered</t>
  </si>
  <si>
    <t>20% at source</t>
  </si>
  <si>
    <t>If Not Registered</t>
  </si>
  <si>
    <t>30% at source</t>
  </si>
  <si>
    <t>CIS Registered?</t>
  </si>
  <si>
    <t>Not CIS Registered?</t>
  </si>
  <si>
    <t>If income received is £2,400 ALWAYS DIVIDE BY 0.7</t>
  </si>
  <si>
    <t>2,400 / 0.7</t>
  </si>
  <si>
    <t>3,428.57 - 2,400</t>
  </si>
  <si>
    <t>30% is deducted at source if not registered - so the user always receives 80% of the income - So always divide income by 0.7</t>
  </si>
  <si>
    <t>"We detected some income from Skanska. We have estimated £1,028.57 CIS was deducted. Do you want to confirm or adjust this?"</t>
  </si>
  <si>
    <t>"I realised you said you were 'Married' upon setup - Do you want to put in your partner's details to see if they are eligible for marriage allowance? You could reduce your tax liability by £252 if eligible."</t>
  </si>
  <si>
    <t>Civil Partnership</t>
  </si>
  <si>
    <t>Question 1</t>
  </si>
  <si>
    <t>Question 2</t>
  </si>
  <si>
    <t>What is your partners gross income per annum?</t>
  </si>
  <si>
    <t>Is your partner based in the UK?</t>
  </si>
  <si>
    <t>Example:</t>
  </si>
  <si>
    <t>Partner Income</t>
  </si>
  <si>
    <t>Eligibility?</t>
  </si>
  <si>
    <t>NO</t>
  </si>
  <si>
    <t>PA Left</t>
  </si>
  <si>
    <t>Why Eligible?</t>
  </si>
  <si>
    <t>YES</t>
  </si>
  <si>
    <t>&lt;1260</t>
  </si>
  <si>
    <t>&gt;1,260</t>
  </si>
  <si>
    <t>Rules:</t>
  </si>
  <si>
    <t>Look at daily tax calculation forecast to see what rate is being used - If 20% then eligible - If not don't bother asking them about marriage allowance.</t>
  </si>
  <si>
    <t>If PA remaining is at least £1,260, then this can be transferred - If any less than this it cannot be transferred to the other partner</t>
  </si>
  <si>
    <t>THEN TAKE PARTNER'S INCOME SUBTRACT BY 12,570 TO SEE IF MORE THAN 1260 OR NOT - IF MORE THAN 1260 THEN 1260 CAN BE TRANSFERRED AND DEDCUTED OFF MAIN user's TAXABLE INCOME, IF NOT THEN THIS IS NOT ALLOWED.</t>
  </si>
  <si>
    <t>1) Check if user is basic rate based on daily tax caculation</t>
  </si>
  <si>
    <t>2) Then get user to fill in partners details</t>
  </si>
  <si>
    <t>3) Apply or don't apply based on rules above</t>
  </si>
  <si>
    <t>"Did you tick the gift aid box when making this donation?"</t>
  </si>
  <si>
    <t>&lt;&lt; IF Yes allowable, if not ticked then do not include this donation in calculations - Do not add back to income either as its not disallowable.</t>
  </si>
  <si>
    <t>If yes allowable, if not ticked then do not include this donation in calculations - Do not add back to income either as its not disallowable.</t>
  </si>
  <si>
    <t>"This is not a UK registered pension provider, so there will be no relief on this transaction"</t>
  </si>
  <si>
    <t>&lt;If not registered exclude from tax calculations</t>
  </si>
  <si>
    <t>Pension payments (UK Registered)</t>
  </si>
  <si>
    <t>Pension payments (Not - UK Registered)</t>
  </si>
  <si>
    <t>"Is this a private pension provider?, If so there will be no relief on this transaction, try contributing to a UK registered pension provider to reduce your tax liability."</t>
  </si>
  <si>
    <t>18)</t>
  </si>
  <si>
    <t>20)</t>
  </si>
  <si>
    <t>Then apply pension (if UK approved) gross up</t>
  </si>
  <si>
    <t>Take all Taxable Income (Capital gains/savings income/dividends are banded together separately as they have different rates)</t>
  </si>
  <si>
    <t>Then apply gift aid calculation gross up if eligible</t>
  </si>
  <si>
    <t>Calculate total income for the year (All income BUT Capital gains)</t>
  </si>
  <si>
    <t>If under 100k then use full £12,570 allowance</t>
  </si>
  <si>
    <t xml:space="preserve">3) </t>
  </si>
  <si>
    <t>3.1)</t>
  </si>
  <si>
    <t>3.2)</t>
  </si>
  <si>
    <t>3.3)</t>
  </si>
  <si>
    <t>If Adjusted Net Income  (total taxable income less pension and gift aid) over 100k then the following applies:</t>
  </si>
  <si>
    <t>Adjusted Net Income (ANI) less £100k divided by 2</t>
  </si>
  <si>
    <t>If total ANI &gt;= £125,140 then PA is fully removed</t>
  </si>
  <si>
    <t>Take that amount an deduct from PA of £12,570</t>
  </si>
  <si>
    <t>Now apply this amount as the new personal allowance and deduct from ANI</t>
  </si>
  <si>
    <t>For tax calculations (IB platform)</t>
  </si>
  <si>
    <t>For tax return (HMRC)</t>
  </si>
  <si>
    <t>Send amounts for allowable expenses</t>
  </si>
  <si>
    <t>Send amounts for disallowable expenses</t>
  </si>
  <si>
    <t>If Capital gains income, apply CGT income only. Also apply reliefs if eligible</t>
  </si>
  <si>
    <t>Then apply pension (if UK approved) gross up and send</t>
  </si>
  <si>
    <t>Then apply gift aid calculation gross up if eligible - gross up and send</t>
  </si>
  <si>
    <t>Then increase TAX bands by this grossed up amount (Income tax/Savings and Dividend tax bands ONLY)</t>
  </si>
  <si>
    <t xml:space="preserve">19) </t>
  </si>
  <si>
    <t>Apply NI Calculations</t>
  </si>
  <si>
    <t>Apply NI class 2 and class 4</t>
  </si>
  <si>
    <t>API Example:</t>
  </si>
  <si>
    <t>"studentLoanAndPostgraduateLoan": {</t>
  </si>
  <si>
    <t>  "studentLoan": {</t>
  </si>
  <si>
    <t>    "planType": "plan2"</t>
  </si>
  <si>
    <t>  },</t>
  </si>
  <si>
    <t>  "postgraduateLoan": {</t>
  </si>
  <si>
    <t>    "repayment": true</t>
  </si>
  <si>
    <t>  }</t>
  </si>
  <si>
    <t>Send HMRC Student loan plan type if eligible and specified by user upon setup</t>
  </si>
  <si>
    <t>Group</t>
  </si>
  <si>
    <t>Name</t>
  </si>
  <si>
    <t>Category</t>
  </si>
  <si>
    <t>Car Brands (Automotive should b</t>
  </si>
  <si>
    <t>Abarth</t>
  </si>
  <si>
    <t>Alfa Romeo</t>
  </si>
  <si>
    <t>Alpine</t>
  </si>
  <si>
    <t>Aston Martin</t>
  </si>
  <si>
    <t>Audi</t>
  </si>
  <si>
    <t>Bentley</t>
  </si>
  <si>
    <t>BMW</t>
  </si>
  <si>
    <t>BYD</t>
  </si>
  <si>
    <t>Caterham</t>
  </si>
  <si>
    <t>Citroën</t>
  </si>
  <si>
    <t>Cupra</t>
  </si>
  <si>
    <t>Dacia</t>
  </si>
  <si>
    <t>DS Automobiles</t>
  </si>
  <si>
    <t>Ferrari</t>
  </si>
  <si>
    <t>Fiat</t>
  </si>
  <si>
    <t>Ford</t>
  </si>
  <si>
    <t>GMC</t>
  </si>
  <si>
    <t>Honda</t>
  </si>
  <si>
    <t>Hyundai</t>
  </si>
  <si>
    <t>Infiniti</t>
  </si>
  <si>
    <t>Isuzu</t>
  </si>
  <si>
    <t>Jaguar</t>
  </si>
  <si>
    <t>Jeep</t>
  </si>
  <si>
    <t>Kia</t>
  </si>
  <si>
    <t>Land Rover</t>
  </si>
  <si>
    <t>Lexus</t>
  </si>
  <si>
    <t>Lotus</t>
  </si>
  <si>
    <t>Maserati</t>
  </si>
  <si>
    <t>Mazda</t>
  </si>
  <si>
    <t>McLaren</t>
  </si>
  <si>
    <t>Mercedes-Benz</t>
  </si>
  <si>
    <t>MG</t>
  </si>
  <si>
    <t>MINI</t>
  </si>
  <si>
    <t>Mitsubishi</t>
  </si>
  <si>
    <t>Morgan</t>
  </si>
  <si>
    <t>Nissan</t>
  </si>
  <si>
    <t>Peugeot</t>
  </si>
  <si>
    <t>Polestar</t>
  </si>
  <si>
    <t>Porsche</t>
  </si>
  <si>
    <t>Renault</t>
  </si>
  <si>
    <t>Rolls-Royce</t>
  </si>
  <si>
    <t>SEAT</t>
  </si>
  <si>
    <t>Skoda</t>
  </si>
  <si>
    <t>Smart</t>
  </si>
  <si>
    <t>SsangYong</t>
  </si>
  <si>
    <t>Subaru</t>
  </si>
  <si>
    <t>Suzuki</t>
  </si>
  <si>
    <t>Tesla</t>
  </si>
  <si>
    <t>Toyota</t>
  </si>
  <si>
    <t>Vauxhall</t>
  </si>
  <si>
    <t>Volkswagen</t>
  </si>
  <si>
    <t>Volvo</t>
  </si>
  <si>
    <t>Automotive Parts &amp; Accessories</t>
  </si>
  <si>
    <t>Andrew Page</t>
  </si>
  <si>
    <t>Autodoc (UK)</t>
  </si>
  <si>
    <t>CarParts4Less</t>
  </si>
  <si>
    <t>Euro Car Parts (ECP)</t>
  </si>
  <si>
    <t>GSF Car Parts</t>
  </si>
  <si>
    <t>Halfords</t>
  </si>
  <si>
    <t>Motor Parts Direct</t>
  </si>
  <si>
    <t>TPS (Trade Parts Specialists - VW Group)</t>
  </si>
  <si>
    <t>Car Dealerships (New &amp; Used)</t>
  </si>
  <si>
    <t>Arnold Clark</t>
  </si>
  <si>
    <t>Bristol Street Motors</t>
  </si>
  <si>
    <t>Cargiant</t>
  </si>
  <si>
    <t>Cazoo</t>
  </si>
  <si>
    <t>Cinch</t>
  </si>
  <si>
    <t>Evans Halshaw</t>
  </si>
  <si>
    <t>Inchcape</t>
  </si>
  <si>
    <t>Lookers</t>
  </si>
  <si>
    <t>Motorpoint</t>
  </si>
  <si>
    <t>Pendragon</t>
  </si>
  <si>
    <t>Sytner</t>
  </si>
  <si>
    <t>Vauxhall Finance</t>
  </si>
  <si>
    <t>Vertu Motors</t>
  </si>
  <si>
    <t>Car Rental &amp; Leasing</t>
  </si>
  <si>
    <t>Addison Lee</t>
  </si>
  <si>
    <t>Avis</t>
  </si>
  <si>
    <t>Bolt</t>
  </si>
  <si>
    <t>Budget Car Rental</t>
  </si>
  <si>
    <t>Drivalia</t>
  </si>
  <si>
    <t>Enterprise Rent-A-Car</t>
  </si>
  <si>
    <t>Europcar</t>
  </si>
  <si>
    <t>FreeNow</t>
  </si>
  <si>
    <t>Gett</t>
  </si>
  <si>
    <t>Hertz</t>
  </si>
  <si>
    <t>LeasePlan UK Ltd</t>
  </si>
  <si>
    <t>Lex Autolease</t>
  </si>
  <si>
    <t>National Car Rental</t>
  </si>
  <si>
    <t>Novuna Vehicle Solutions</t>
  </si>
  <si>
    <t>Sixt</t>
  </si>
  <si>
    <t>Turo</t>
  </si>
  <si>
    <t>Uber</t>
  </si>
  <si>
    <t>Zipcar</t>
  </si>
  <si>
    <t>Car Service, Repair &amp; MOT</t>
  </si>
  <si>
    <t>ATS Euromaster</t>
  </si>
  <si>
    <t>Bosch Car Service</t>
  </si>
  <si>
    <t>Halfords Autocentres</t>
  </si>
  <si>
    <t>Kwik Fit</t>
  </si>
  <si>
    <t>Mr Clutch</t>
  </si>
  <si>
    <t>National Tyres and Autocare</t>
  </si>
  <si>
    <t>Green Flag</t>
  </si>
  <si>
    <t>Autoglass</t>
  </si>
  <si>
    <t>AA</t>
  </si>
  <si>
    <t>Airlines</t>
  </si>
  <si>
    <t>Aer Lingus</t>
  </si>
  <si>
    <t>Air France</t>
  </si>
  <si>
    <t>American Airlines</t>
  </si>
  <si>
    <t>British Airways</t>
  </si>
  <si>
    <t>Brussels Airlines</t>
  </si>
  <si>
    <t>Cathay Pacific</t>
  </si>
  <si>
    <t>Delta Air Lines</t>
  </si>
  <si>
    <t>easyJet</t>
  </si>
  <si>
    <t>Emirates</t>
  </si>
  <si>
    <t>Eurowings</t>
  </si>
  <si>
    <t>Etihad Airways</t>
  </si>
  <si>
    <t>Jet2.com</t>
  </si>
  <si>
    <t>KLM (Royal Dutch Airlines)</t>
  </si>
  <si>
    <t>Lufthansa</t>
  </si>
  <si>
    <t>Norwegian Air Shuttle</t>
  </si>
  <si>
    <t>Qatar Airways</t>
  </si>
  <si>
    <t>Ryanair</t>
  </si>
  <si>
    <t>SAS (Scandinavian Airlines)</t>
  </si>
  <si>
    <t>Singapore Airlines</t>
  </si>
  <si>
    <t>Southwest Airlines</t>
  </si>
  <si>
    <t>SWISS (Swiss International Air Lines)</t>
  </si>
  <si>
    <t>TAP Air Portugal</t>
  </si>
  <si>
    <t>Turkish Airlines</t>
  </si>
  <si>
    <t>TUI</t>
  </si>
  <si>
    <t>United Airlines</t>
  </si>
  <si>
    <t>Virgin Atlantic</t>
  </si>
  <si>
    <t>Vueling Airlines</t>
  </si>
  <si>
    <t>Wizz Air</t>
  </si>
  <si>
    <t>Financial Institutions</t>
  </si>
  <si>
    <t>4syte</t>
  </si>
  <si>
    <t>ABC International Bank plc</t>
  </si>
  <si>
    <t>ABN AMRO Bank NV, UK Branch</t>
  </si>
  <si>
    <t>ABN AMRO Commercial Finance</t>
  </si>
  <si>
    <t>Access Bank UK Limited</t>
  </si>
  <si>
    <t>AccessPay</t>
  </si>
  <si>
    <t>Accord Mortgages</t>
  </si>
  <si>
    <t>Affirmative Finance Limited</t>
  </si>
  <si>
    <t>Ahli United Bank (UK) Ltd</t>
  </si>
  <si>
    <t>AIB Commercial Finance Ltd</t>
  </si>
  <si>
    <t>AIB Group (UK) PLC</t>
  </si>
  <si>
    <t>Airwallex</t>
  </si>
  <si>
    <t>Aldermore Bank</t>
  </si>
  <si>
    <t>Aldermore Invoice Finance</t>
  </si>
  <si>
    <t>Allica Bank</t>
  </si>
  <si>
    <t>Allied Irish Bank (GB)</t>
  </si>
  <si>
    <t>Alpha Bank</t>
  </si>
  <si>
    <t>Al Rayan Bank</t>
  </si>
  <si>
    <t>Amazon Payments UK</t>
  </si>
  <si>
    <t>Amber Homeloans Ltd</t>
  </si>
  <si>
    <t>American Express Services Europe Limited</t>
  </si>
  <si>
    <t>April Mortgages</t>
  </si>
  <si>
    <t>Arbuthnot Latham &amp; Co Ltd</t>
  </si>
  <si>
    <t>Atom Bank plc</t>
  </si>
  <si>
    <t>Australia and New Zealand Banking Group Ltd</t>
  </si>
  <si>
    <t>Aviva</t>
  </si>
  <si>
    <t>Banco Santander</t>
  </si>
  <si>
    <t>Bank J Safra Sarasin (Gibraltar Ltd)</t>
  </si>
  <si>
    <t>Bank of America Merrill Lynch International Limited</t>
  </si>
  <si>
    <t>Bank of America NA</t>
  </si>
  <si>
    <t>Bank of Baroda</t>
  </si>
  <si>
    <t>Bank of Ceylon (UK) Ltd</t>
  </si>
  <si>
    <t>Bank of China (UK) Limited</t>
  </si>
  <si>
    <t>Bank of India</t>
  </si>
  <si>
    <t>Bank of Ireland Commercial Finance</t>
  </si>
  <si>
    <t>Bank of Ireland UK PLC</t>
  </si>
  <si>
    <t>Bank of London and Middle East</t>
  </si>
  <si>
    <t>Bank of Scotland</t>
  </si>
  <si>
    <t>Banking Circle</t>
  </si>
  <si>
    <t>Barclaycard</t>
  </si>
  <si>
    <t>Barclays Bank Plc</t>
  </si>
  <si>
    <t>Barclays Corporate</t>
  </si>
  <si>
    <t>Barclays Investment Bank</t>
  </si>
  <si>
    <t>Barclays Merchant Services</t>
  </si>
  <si>
    <t>Barclays Private Bank Ltd</t>
  </si>
  <si>
    <t>Barclays Tesco Bank</t>
  </si>
  <si>
    <t>Barclays Trade and Working Capital UK &amp; Ireland</t>
  </si>
  <si>
    <t>Barclays Wealth and Investment Management</t>
  </si>
  <si>
    <t>Barnsley Building Society</t>
  </si>
  <si>
    <t>BCMGlobal</t>
  </si>
  <si>
    <t>Belfast Commercial Funding Ltd</t>
  </si>
  <si>
    <t>Better HomeOwnership</t>
  </si>
  <si>
    <t>Bibby Financial Services Ltd</t>
  </si>
  <si>
    <t>Birmingham Bank</t>
  </si>
  <si>
    <t>Birmingham Midshires</t>
  </si>
  <si>
    <t>BNP Paribas</t>
  </si>
  <si>
    <t>BNP Paribas Commercial Finance Ltd</t>
  </si>
  <si>
    <t>BNY</t>
  </si>
  <si>
    <t>Bottomline Technologies</t>
  </si>
  <si>
    <t>British Arab Commercial Bank Ltd</t>
  </si>
  <si>
    <t>Brown Shipley &amp; Co. Ltd</t>
  </si>
  <si>
    <t>Butterfield Mortgages Limited</t>
  </si>
  <si>
    <t>CAF Bank Ltd</t>
  </si>
  <si>
    <t>CaixaBank</t>
  </si>
  <si>
    <t>Cambridge Building Society</t>
  </si>
  <si>
    <t>Cambridge &amp; Counties Bank Limited</t>
  </si>
  <si>
    <t>Canara Bank</t>
  </si>
  <si>
    <t>Capital Home Loans Limited</t>
  </si>
  <si>
    <t>Capital One (Europe) plc</t>
  </si>
  <si>
    <t>Capita Mortgage Administration Limited</t>
  </si>
  <si>
    <t>Cashplus</t>
  </si>
  <si>
    <t>Castle Trust Capital plc</t>
  </si>
  <si>
    <t>Central Trust Limited</t>
  </si>
  <si>
    <t>Charity Bank Limited</t>
  </si>
  <si>
    <t>Charter Court Financial Services Limited</t>
  </si>
  <si>
    <t>Chelsea Building Society</t>
  </si>
  <si>
    <t>Cheltenham &amp; Gloucester plc</t>
  </si>
  <si>
    <t>Chetwood Financial</t>
  </si>
  <si>
    <t>China Construction Bank (London) Limited</t>
  </si>
  <si>
    <t>C Hoare &amp; Co</t>
  </si>
  <si>
    <t>Citibank International plc</t>
  </si>
  <si>
    <t>Citibank UK Limited</t>
  </si>
  <si>
    <t>Citigroup Global Markets Limited</t>
  </si>
  <si>
    <t>ClearBank</t>
  </si>
  <si>
    <t>Close Brothers</t>
  </si>
  <si>
    <t>Computershare Loan Services</t>
  </si>
  <si>
    <t>Co-operative Banking Group</t>
  </si>
  <si>
    <t>Co-operative Bank plc</t>
  </si>
  <si>
    <t>Co-operative Financial Services (CFS)</t>
  </si>
  <si>
    <t>Coinbase</t>
  </si>
  <si>
    <t>Commerzbank</t>
  </si>
  <si>
    <t>Conister Bank</t>
  </si>
  <si>
    <t>Counties Home Loan Management</t>
  </si>
  <si>
    <t>Coutts</t>
  </si>
  <si>
    <t>Coventry Building Society</t>
  </si>
  <si>
    <t>Crocus Home Loans Limited</t>
  </si>
  <si>
    <t>Crown Agents Bank</t>
  </si>
  <si>
    <t>Cubefunder</t>
  </si>
  <si>
    <t>Cumberland Building Society</t>
  </si>
  <si>
    <t>CYBG</t>
  </si>
  <si>
    <t>Cynergy Bank</t>
  </si>
  <si>
    <t>Danske Bank</t>
  </si>
  <si>
    <t>Darlington Building Society</t>
  </si>
  <si>
    <t>Decta</t>
  </si>
  <si>
    <t>Derbyshire Home Loans Ltd</t>
  </si>
  <si>
    <t>Deutsche Bank AG Group</t>
  </si>
  <si>
    <t>DF Capital</t>
  </si>
  <si>
    <t>Dudley Building Society</t>
  </si>
  <si>
    <t>eCapital</t>
  </si>
  <si>
    <t>Ecology Building Society</t>
  </si>
  <si>
    <t>EFG Private Bank limited</t>
  </si>
  <si>
    <t>Elavon Financial Services DAC</t>
  </si>
  <si>
    <t>E-Mex Home Funding Ltd</t>
  </si>
  <si>
    <t>Esme Loans</t>
  </si>
  <si>
    <t>Euroclear UK &amp; International</t>
  </si>
  <si>
    <t>Europe Arab Bank plc</t>
  </si>
  <si>
    <t>Family Building Society</t>
  </si>
  <si>
    <t>FBN Bank (UK) Ltd</t>
  </si>
  <si>
    <t>FCE Bank Plc</t>
  </si>
  <si>
    <t>Fire Financial Services Limited</t>
  </si>
  <si>
    <t>First Abu Dhabi Bank</t>
  </si>
  <si>
    <t>First Data Europe Limited</t>
  </si>
  <si>
    <t>First Direct Bank</t>
  </si>
  <si>
    <t>First Trust Bank</t>
  </si>
  <si>
    <t>Fiserv</t>
  </si>
  <si>
    <t>Fleet Mortgages</t>
  </si>
  <si>
    <t>Flex ABL</t>
  </si>
  <si>
    <t>Fleximize Services Limited</t>
  </si>
  <si>
    <t>Fnality UK Limited</t>
  </si>
  <si>
    <t>Funding Circle</t>
  </si>
  <si>
    <t>Furness Building Society</t>
  </si>
  <si>
    <t>G4S Cash Solutions (UK) Ltd</t>
  </si>
  <si>
    <t>Gemini</t>
  </si>
  <si>
    <t>Gen H</t>
  </si>
  <si>
    <t>Ghana International Bank plc</t>
  </si>
  <si>
    <t>Global Payments T/A GPUK LLP</t>
  </si>
  <si>
    <t>GoCardless Limited</t>
  </si>
  <si>
    <t>Godiva Mortgages Limited</t>
  </si>
  <si>
    <t>Goldman Sachs</t>
  </si>
  <si>
    <t>Gulf International Bank BSC Group</t>
  </si>
  <si>
    <t>Halifax plc</t>
  </si>
  <si>
    <t>Halifax Share Dealing Ltd</t>
  </si>
  <si>
    <t>Hampden &amp; Co</t>
  </si>
  <si>
    <t>Hampshire Trust Bank Plc</t>
  </si>
  <si>
    <t>Handelsbanken plc</t>
  </si>
  <si>
    <t>Harpenden Building Society</t>
  </si>
  <si>
    <t>Havin Bank Ltd</t>
  </si>
  <si>
    <t>HBOS plc</t>
  </si>
  <si>
    <t>Hinckley &amp; Rugby Building Society</t>
  </si>
  <si>
    <t>Hodge Bank</t>
  </si>
  <si>
    <t>HSBC Bank Plc</t>
  </si>
  <si>
    <t>HSBC Global Banking &amp; Markets</t>
  </si>
  <si>
    <t>HSBC Holdings plc</t>
  </si>
  <si>
    <t>HSBC Investment Bank plc</t>
  </si>
  <si>
    <t>HSBC Invoice Finance (UK) Ltd</t>
  </si>
  <si>
    <t>HSBC Merchant Services</t>
  </si>
  <si>
    <t>HSBC Private Bank Limited</t>
  </si>
  <si>
    <t>HSBC Trust Company (UK) Ltd</t>
  </si>
  <si>
    <t>ICBC Standard Bank Plc</t>
  </si>
  <si>
    <t>iFast Global</t>
  </si>
  <si>
    <t>IGF Invoice Finance Ltd</t>
  </si>
  <si>
    <t>Ikano Bank</t>
  </si>
  <si>
    <t>ING Bank N.V.</t>
  </si>
  <si>
    <t>Intelligent Finance</t>
  </si>
  <si>
    <t>Investec Bank Plc</t>
  </si>
  <si>
    <t>Jaja Finance</t>
  </si>
  <si>
    <t>JN Bank UK Ltd</t>
  </si>
  <si>
    <t>Jordan International Bank plc</t>
  </si>
  <si>
    <t>JPMorgan Chase Bank Group</t>
  </si>
  <si>
    <t>Just Retirement Money Limited</t>
  </si>
  <si>
    <t>KBC Bank NV</t>
  </si>
  <si>
    <t>Kensington Mortgages</t>
  </si>
  <si>
    <t>Keystone Property Finance</t>
  </si>
  <si>
    <t>Kingdom Bank Ltd</t>
  </si>
  <si>
    <t>Klarna</t>
  </si>
  <si>
    <t>Kroo</t>
  </si>
  <si>
    <t>Landbay Partners Limited</t>
  </si>
  <si>
    <t>Leeds Building Society</t>
  </si>
  <si>
    <t>Leek Building Society</t>
  </si>
  <si>
    <t>Legal &amp; General Home Finance Limited</t>
  </si>
  <si>
    <t>Legal &amp; General Investment Management</t>
  </si>
  <si>
    <t>Lendable</t>
  </si>
  <si>
    <t>Lendco</t>
  </si>
  <si>
    <t>Lendinvest Ltd</t>
  </si>
  <si>
    <t>LHV Bank</t>
  </si>
  <si>
    <t>Link Financial Outsourcing Ltd</t>
  </si>
  <si>
    <t>LiveMore Capital</t>
  </si>
  <si>
    <t>Lloyds Bank Commercial Finance Ltd</t>
  </si>
  <si>
    <t>Lloyds Banking Group</t>
  </si>
  <si>
    <t>Lloyds Bank Plc</t>
  </si>
  <si>
    <t>Lombard Odier</t>
  </si>
  <si>
    <t>Love Finance</t>
  </si>
  <si>
    <t>M&amp;G Investment Management</t>
  </si>
  <si>
    <t>M&amp;G plc</t>
  </si>
  <si>
    <t>MarketAxess</t>
  </si>
  <si>
    <t>Market Financial Solutions</t>
  </si>
  <si>
    <t>Market Harborough Building Society</t>
  </si>
  <si>
    <t>Market Harborough Mortgages Ltd</t>
  </si>
  <si>
    <t>Marks &amp; Spencer Money</t>
  </si>
  <si>
    <t>Mars Capital Finance Limited</t>
  </si>
  <si>
    <t>Mashreq Bank PSC</t>
  </si>
  <si>
    <t>Mastercard</t>
  </si>
  <si>
    <t>MBNA Limited</t>
  </si>
  <si>
    <t>Melton Mowbray Building Society</t>
  </si>
  <si>
    <t>Metro Bank Asset &amp; Invoice Finance</t>
  </si>
  <si>
    <t>Metro Bank Plc</t>
  </si>
  <si>
    <t>Mitsubishi HC Capital</t>
  </si>
  <si>
    <t>Mitsubishi UFJ Trust and Banking Corporation</t>
  </si>
  <si>
    <t>Mizuho Bank Ltd</t>
  </si>
  <si>
    <t>Modulr ICB</t>
  </si>
  <si>
    <t>Molo</t>
  </si>
  <si>
    <t>Monese</t>
  </si>
  <si>
    <t>Monmouthshire Building Society</t>
  </si>
  <si>
    <t>Monzo Bank Limited</t>
  </si>
  <si>
    <t>More 2 Life</t>
  </si>
  <si>
    <t>Mortgage Express</t>
  </si>
  <si>
    <t>Morgan Stanley &amp; Co. International PLC</t>
  </si>
  <si>
    <t>Mortgages plc</t>
  </si>
  <si>
    <t>Mortgage Trust plc</t>
  </si>
  <si>
    <t>MT Finance</t>
  </si>
  <si>
    <t>MUFG (previously Bank of Tokyo Mitsubishi UFJ Ltd)</t>
  </si>
  <si>
    <t>National Bank of Canada</t>
  </si>
  <si>
    <t>National Bank of Egypt (UK) Ltd</t>
  </si>
  <si>
    <t>National Bank of Kuwait (International)</t>
  </si>
  <si>
    <t>National Counties Building Society</t>
  </si>
  <si>
    <t>Nationwide Building Society</t>
  </si>
  <si>
    <t>Natixis CIB</t>
  </si>
  <si>
    <t>NatWest Bank</t>
  </si>
  <si>
    <t>Nedbank Private Wealth</t>
  </si>
  <si>
    <t>Nemo Personal Finance</t>
  </si>
  <si>
    <t>Newbury Building Society</t>
  </si>
  <si>
    <t>Newcastle Building Society</t>
  </si>
  <si>
    <t>NewDay Ltd</t>
  </si>
  <si>
    <t>Nomura International plc</t>
  </si>
  <si>
    <t>Northern Trust Global Services Limited</t>
  </si>
  <si>
    <t>North Yorkshire Mortgages Limited</t>
  </si>
  <si>
    <t>Norwich &amp; Peterborough Building Society</t>
  </si>
  <si>
    <t>Nottingham Building Society</t>
  </si>
  <si>
    <t>Novuna</t>
  </si>
  <si>
    <t>OakNorth Bank</t>
  </si>
  <si>
    <t>OneSavings Bank Plc</t>
  </si>
  <si>
    <t>PagoNxt Payments UK Ltd</t>
  </si>
  <si>
    <t>Paragon Bank Business Finance PLC</t>
  </si>
  <si>
    <t>Paragon Banking Group</t>
  </si>
  <si>
    <t>Paratus AMC Ltd</t>
  </si>
  <si>
    <t>Partnership Invoice Finance</t>
  </si>
  <si>
    <t>Payen</t>
  </si>
  <si>
    <t>Paymentsense</t>
  </si>
  <si>
    <t>PayPal</t>
  </si>
  <si>
    <t>Perenna</t>
  </si>
  <si>
    <t>Pepper (UK) Limited</t>
  </si>
  <si>
    <t>Pension Insurance Corporation</t>
  </si>
  <si>
    <t>Phoenix Group</t>
  </si>
  <si>
    <t>Platform</t>
  </si>
  <si>
    <t>Post Office Limited</t>
  </si>
  <si>
    <t>PRA Group</t>
  </si>
  <si>
    <t>Praetura Commercial Finance Limited</t>
  </si>
  <si>
    <t>Precise Mortgages</t>
  </si>
  <si>
    <t>PrePay Solutions</t>
  </si>
  <si>
    <t>Principality Building Society</t>
  </si>
  <si>
    <t>Progressive Building Society</t>
  </si>
  <si>
    <t>Pulse Finance Ltd</t>
  </si>
  <si>
    <t>Punjab National Bank</t>
  </si>
  <si>
    <t>Pure Retirement Ltd</t>
  </si>
  <si>
    <t>Qatar National Bank (Q.P.S.C)</t>
  </si>
  <si>
    <t>Quantum Mortgages</t>
  </si>
  <si>
    <t>Quba Solutions</t>
  </si>
  <si>
    <t>Rathbone Brothers Public Limited Company</t>
  </si>
  <si>
    <t>RBS Invoice Finance Ltd</t>
  </si>
  <si>
    <t>RCI Bank UK</t>
  </si>
  <si>
    <t>Recognise Bank</t>
  </si>
  <si>
    <t>Redwood Bank</t>
  </si>
  <si>
    <t>Regency Factors PLC</t>
  </si>
  <si>
    <t>Reliance Bank Ltd</t>
  </si>
  <si>
    <t>Revolut</t>
  </si>
  <si>
    <t>Riyad Bank</t>
  </si>
  <si>
    <t>Rothschild &amp; Co</t>
  </si>
  <si>
    <t>Royal Bank of Canada</t>
  </si>
  <si>
    <t>Royal Bank of Scotland Plc</t>
  </si>
  <si>
    <t>Saffron Building Society</t>
  </si>
  <si>
    <t>Sainsbury's Bank plc</t>
  </si>
  <si>
    <t>Sallyport Commercial Finance</t>
  </si>
  <si>
    <t>Santander Asset Management</t>
  </si>
  <si>
    <t>Santander Invoice Finance</t>
  </si>
  <si>
    <t>Santander Private Banking</t>
  </si>
  <si>
    <t>Santander UK Plc</t>
  </si>
  <si>
    <t>Schroder &amp; Co Ltd</t>
  </si>
  <si>
    <t>Scotiabank Europe and The Bank Of Nova Scotia</t>
  </si>
  <si>
    <t>Scottish Building Society</t>
  </si>
  <si>
    <t>Scottish Widows Bank plc</t>
  </si>
  <si>
    <t>SEB</t>
  </si>
  <si>
    <t>Secure Trust Bank Commercial Finance</t>
  </si>
  <si>
    <t>Secure Trust Bank Plc</t>
  </si>
  <si>
    <t>Shawbrook Bank Limited</t>
  </si>
  <si>
    <t>Silicon Valley Bank</t>
  </si>
  <si>
    <t>Skipton Building Society</t>
  </si>
  <si>
    <t>Skipton Business Finance Ltd</t>
  </si>
  <si>
    <t>Societe Generale Group</t>
  </si>
  <si>
    <t>Sonovate</t>
  </si>
  <si>
    <t>Spring Financial Group Ltd t/a M</t>
  </si>
  <si>
    <t>Square</t>
  </si>
  <si>
    <t>Stafford Railway Building Society</t>
  </si>
  <si>
    <t>Standard Advisory London Ltd</t>
  </si>
  <si>
    <t>Standard Chartered</t>
  </si>
  <si>
    <t>Starling Bank Limited</t>
  </si>
  <si>
    <t>State Bank of India</t>
  </si>
  <si>
    <t>State Street Bank and Trust Company</t>
  </si>
  <si>
    <t>Streambank</t>
  </si>
  <si>
    <t>StrideUp Homes Limited</t>
  </si>
  <si>
    <t>Stripe Payment UK Ltd</t>
  </si>
  <si>
    <t>Sumitomo Mitsui Banking Corporation Europe Limited</t>
  </si>
  <si>
    <t>Sumitomo Mitsui Trust Bank</t>
  </si>
  <si>
    <t>Swansea Building Society</t>
  </si>
  <si>
    <t>Swift 1st</t>
  </si>
  <si>
    <t>SWIFT Ltd</t>
  </si>
  <si>
    <t>Tandem Money Limited</t>
  </si>
  <si>
    <t>Target Group Limited</t>
  </si>
  <si>
    <t>TD Bank NV</t>
  </si>
  <si>
    <t>Team Factors Ltd</t>
  </si>
  <si>
    <t>The Bank of London Group</t>
  </si>
  <si>
    <t>The Housing Finance Corporation</t>
  </si>
  <si>
    <t>The Mortgage Works</t>
  </si>
  <si>
    <t>The Norinchukin Bank</t>
  </si>
  <si>
    <t>The One Account Ltd</t>
  </si>
  <si>
    <t>ThinCats Limited</t>
  </si>
  <si>
    <t>Think Money Ltd</t>
  </si>
  <si>
    <t>Tide</t>
  </si>
  <si>
    <t>Time Finance</t>
  </si>
  <si>
    <t>Tipton &amp; Coseley Building Society</t>
  </si>
  <si>
    <t>Together Personal Finance Ltd</t>
  </si>
  <si>
    <t>Token</t>
  </si>
  <si>
    <t>Topaz Finance Limited</t>
  </si>
  <si>
    <t>Triodos Bank UK Ltd</t>
  </si>
  <si>
    <t>TSB Bank</t>
  </si>
  <si>
    <t>TSYS</t>
  </si>
  <si>
    <t>Turkish Bank UK</t>
  </si>
  <si>
    <t>UBS</t>
  </si>
  <si>
    <t>UCB Home Loans Corporation Ltd</t>
  </si>
  <si>
    <t>UK Mortgage Lending</t>
  </si>
  <si>
    <t>UK Working Capital Ltd t/a Tradeplus24</t>
  </si>
  <si>
    <t>Ulster Bank Invoice Finance</t>
  </si>
  <si>
    <t>Ulster Bank Ltd</t>
  </si>
  <si>
    <t>Ultimate Finance Group Limited</t>
  </si>
  <si>
    <t>United Trust Bank Limited</t>
  </si>
  <si>
    <t>Unity Trust Bank</t>
  </si>
  <si>
    <t>Vanquis Bank Limited</t>
  </si>
  <si>
    <t>Vaultex UK Ltd</t>
  </si>
  <si>
    <t>Vida Homeloans</t>
  </si>
  <si>
    <t>Virgin Money Holdings (UK) plc</t>
  </si>
  <si>
    <t>Visa Europe</t>
  </si>
  <si>
    <t>Visa Payments</t>
  </si>
  <si>
    <t>Vocalink</t>
  </si>
  <si>
    <t>Volt</t>
  </si>
  <si>
    <t>Weatherbys Bank Ltd</t>
  </si>
  <si>
    <t>Wells Fargo Bank NA</t>
  </si>
  <si>
    <t>Wells Fargo Capital Finance</t>
  </si>
  <si>
    <t>West Bromwich Building Society</t>
  </si>
  <si>
    <t>Western Mortgage Services Limited</t>
  </si>
  <si>
    <t>Westpac Banking Corporation</t>
  </si>
  <si>
    <t>White Oak</t>
  </si>
  <si>
    <t>Wise</t>
  </si>
  <si>
    <t>WorldPay Group plc</t>
  </si>
  <si>
    <t>Yorkshire Bank</t>
  </si>
  <si>
    <t>Yorkshire Building Society</t>
  </si>
  <si>
    <t>Zopa Bank Ltd</t>
  </si>
  <si>
    <t>Accessorize</t>
  </si>
  <si>
    <t>AllSaints</t>
  </si>
  <si>
    <t>American Apparel</t>
  </si>
  <si>
    <t>American Eagle Outfitters</t>
  </si>
  <si>
    <t>Ann Summers</t>
  </si>
  <si>
    <t>Anthropologie</t>
  </si>
  <si>
    <t>ASDA (for George at Asda clothing)</t>
  </si>
  <si>
    <t>ASOS.COM (or ASOS)</t>
  </si>
  <si>
    <t>BHS</t>
  </si>
  <si>
    <t>Boden</t>
  </si>
  <si>
    <t>Boohoo</t>
  </si>
  <si>
    <t>Burberry</t>
  </si>
  <si>
    <t>Burton</t>
  </si>
  <si>
    <t>Cath Kidston</t>
  </si>
  <si>
    <t>Charles Tyrwhitt</t>
  </si>
  <si>
    <t>Clarks</t>
  </si>
  <si>
    <t>Crew Clothing</t>
  </si>
  <si>
    <t>Dorothy Perkins</t>
  </si>
  <si>
    <t>Evans</t>
  </si>
  <si>
    <t>Fat Face</t>
  </si>
  <si>
    <t>Foot Locker</t>
  </si>
  <si>
    <t>French Connection</t>
  </si>
  <si>
    <t>Gap</t>
  </si>
  <si>
    <t>Hackett</t>
  </si>
  <si>
    <t>H&amp;M</t>
  </si>
  <si>
    <t>Hobbs</t>
  </si>
  <si>
    <t>Jack Wills</t>
  </si>
  <si>
    <t>Jaeger</t>
  </si>
  <si>
    <t>JD Sports</t>
  </si>
  <si>
    <t>JoJo Maman Bébé</t>
  </si>
  <si>
    <t>Karen Millen</t>
  </si>
  <si>
    <t>Lacoste</t>
  </si>
  <si>
    <t>Laura Ashley</t>
  </si>
  <si>
    <t>Levi's</t>
  </si>
  <si>
    <t>Lululemon</t>
  </si>
  <si>
    <t>Mango</t>
  </si>
  <si>
    <t>Marks &amp; Spencer (M&amp;S)</t>
  </si>
  <si>
    <t>Matalan</t>
  </si>
  <si>
    <t>Monsoon</t>
  </si>
  <si>
    <t>Mothercare</t>
  </si>
  <si>
    <t>Nasty Gal</t>
  </si>
  <si>
    <t>New Look</t>
  </si>
  <si>
    <t>Next</t>
  </si>
  <si>
    <t>Oasis</t>
  </si>
  <si>
    <t>Outfit (multi-brand store from Arcadia Group)</t>
  </si>
  <si>
    <t>Paul Smith</t>
  </si>
  <si>
    <t>PrettyLittleThing</t>
  </si>
  <si>
    <t>Primark</t>
  </si>
  <si>
    <t>Reiss</t>
  </si>
  <si>
    <t>River Island</t>
  </si>
  <si>
    <t>Russell &amp; Bromley</t>
  </si>
  <si>
    <t>Schuh</t>
  </si>
  <si>
    <t>Shein</t>
  </si>
  <si>
    <t>Sports Direct</t>
  </si>
  <si>
    <t>Ted Baker</t>
  </si>
  <si>
    <t>Tesco (for F&amp;F Clothing)</t>
  </si>
  <si>
    <t>The Body Shop</t>
  </si>
  <si>
    <t>Timberland</t>
  </si>
  <si>
    <t>TK Maxx</t>
  </si>
  <si>
    <t>Tommy Hilfiger</t>
  </si>
  <si>
    <t>Topman</t>
  </si>
  <si>
    <t>Topshop</t>
  </si>
  <si>
    <t>Urban Outfitters</t>
  </si>
  <si>
    <t>USC</t>
  </si>
  <si>
    <t>Wallis</t>
  </si>
  <si>
    <t>Warehouse</t>
  </si>
  <si>
    <t>White Stuff</t>
  </si>
  <si>
    <t>Zara</t>
  </si>
  <si>
    <t>Zalando</t>
  </si>
  <si>
    <t>Decor &amp; Speciality</t>
  </si>
  <si>
    <t>Hobbycraft</t>
  </si>
  <si>
    <t>Lush</t>
  </si>
  <si>
    <t>The Entertainer</t>
  </si>
  <si>
    <t>The Works</t>
  </si>
  <si>
    <t>Yankee Candle</t>
  </si>
  <si>
    <t>DIY &amp; Gardening</t>
  </si>
  <si>
    <t>B&amp;M Bargains</t>
  </si>
  <si>
    <t>B&amp;Q</t>
  </si>
  <si>
    <t>Dobbies Garden Centres</t>
  </si>
  <si>
    <t>Home Bargains</t>
  </si>
  <si>
    <t>Homebase</t>
  </si>
  <si>
    <t>Lakeland</t>
  </si>
  <si>
    <t>Notcutts Garden Centres</t>
  </si>
  <si>
    <t>Robert Dyas</t>
  </si>
  <si>
    <t>RHS (Royal Horticultural Society)</t>
  </si>
  <si>
    <t>Screwfix</t>
  </si>
  <si>
    <t>Squires Garden Centres</t>
  </si>
  <si>
    <t>The Range</t>
  </si>
  <si>
    <t>Toolstation</t>
  </si>
  <si>
    <t>Travis Perkins</t>
  </si>
  <si>
    <t>Wickes</t>
  </si>
  <si>
    <t>Wilko</t>
  </si>
  <si>
    <t>Wyevale Garden Centres</t>
  </si>
  <si>
    <t>WeCasa Cleaning Services</t>
  </si>
  <si>
    <t>Electronics</t>
  </si>
  <si>
    <t>AO.com (or simply "AO")</t>
  </si>
  <si>
    <t>Apple</t>
  </si>
  <si>
    <t>Argos</t>
  </si>
  <si>
    <t>Amazon</t>
  </si>
  <si>
    <t>Bang &amp; Olufsen</t>
  </si>
  <si>
    <t>Box.co.uk</t>
  </si>
  <si>
    <t>Costco</t>
  </si>
  <si>
    <t>Currys</t>
  </si>
  <si>
    <t>Ebuyer</t>
  </si>
  <si>
    <t>Euronics</t>
  </si>
  <si>
    <t>John Lewis</t>
  </si>
  <si>
    <t>Maplin</t>
  </si>
  <si>
    <t>Marks Electrical</t>
  </si>
  <si>
    <t>Rightway</t>
  </si>
  <si>
    <t>Richer Sounds</t>
  </si>
  <si>
    <t>SCAN</t>
  </si>
  <si>
    <t>Tech Gear London</t>
  </si>
  <si>
    <t>Tech Planet</t>
  </si>
  <si>
    <t>The Very Group (or "Very")</t>
  </si>
  <si>
    <t>WWW.DCDIGITALTV.CO</t>
  </si>
  <si>
    <t>Food Retailers</t>
  </si>
  <si>
    <t>Aldi</t>
  </si>
  <si>
    <t>Amazon Fresh</t>
  </si>
  <si>
    <t>Asda</t>
  </si>
  <si>
    <t>Booths</t>
  </si>
  <si>
    <t>Co-op Food</t>
  </si>
  <si>
    <t>Costco Food</t>
  </si>
  <si>
    <t>Deliveroo</t>
  </si>
  <si>
    <t>Getir</t>
  </si>
  <si>
    <t>Gopuff</t>
  </si>
  <si>
    <t>Iceland</t>
  </si>
  <si>
    <t>Just Eat</t>
  </si>
  <si>
    <t>Lidl</t>
  </si>
  <si>
    <t>Marks &amp; Spencer Food</t>
  </si>
  <si>
    <t>Morrisons</t>
  </si>
  <si>
    <t>Ocado</t>
  </si>
  <si>
    <t>Sainsbury's</t>
  </si>
  <si>
    <t>Tesco</t>
  </si>
  <si>
    <t>Uber Eats</t>
  </si>
  <si>
    <t>Waitrose</t>
  </si>
  <si>
    <t>Home &amp; Lifestyle</t>
  </si>
  <si>
    <t>Bensons for Beds</t>
  </si>
  <si>
    <t>Dwell</t>
  </si>
  <si>
    <t>Dunelm</t>
  </si>
  <si>
    <t>Furniture Village</t>
  </si>
  <si>
    <t>Habitat</t>
  </si>
  <si>
    <t>Homesense</t>
  </si>
  <si>
    <t>IKEA</t>
  </si>
  <si>
    <t>Leekes</t>
  </si>
  <si>
    <t>Loaf</t>
  </si>
  <si>
    <t>Made.com</t>
  </si>
  <si>
    <t>Neptune</t>
  </si>
  <si>
    <t>Next Home</t>
  </si>
  <si>
    <t>Oak Furnitureland</t>
  </si>
  <si>
    <t>Oliver Bonas</t>
  </si>
  <si>
    <t>Arighi Bianchi</t>
  </si>
  <si>
    <t>ScS</t>
  </si>
  <si>
    <t>Sofology</t>
  </si>
  <si>
    <t>The White Company</t>
  </si>
  <si>
    <t>Wayfair</t>
  </si>
  <si>
    <t>B&amp;M</t>
  </si>
  <si>
    <t>Home Services &amp; Utilities</t>
  </si>
  <si>
    <t>British Gas</t>
  </si>
  <si>
    <t>British Gas Services</t>
  </si>
  <si>
    <t>British Telecom (BT)</t>
  </si>
  <si>
    <t>Domestic &amp; General</t>
  </si>
  <si>
    <t>EDF Energy</t>
  </si>
  <si>
    <t>E.ON</t>
  </si>
  <si>
    <t>Homeserve</t>
  </si>
  <si>
    <t>Npower</t>
  </si>
  <si>
    <t>Octopus Energy</t>
  </si>
  <si>
    <t>OVO Energy</t>
  </si>
  <si>
    <t>Scottish Power</t>
  </si>
  <si>
    <t>Severn Trent Water</t>
  </si>
  <si>
    <t>Sky (for TV/broadband)</t>
  </si>
  <si>
    <t>TalkTalk</t>
  </si>
  <si>
    <t>Thames Water</t>
  </si>
  <si>
    <t>Virgin Media</t>
  </si>
  <si>
    <t>HOMESERVE MEMBERSHIP</t>
  </si>
  <si>
    <t>Hotels</t>
  </si>
  <si>
    <t>Accor</t>
  </si>
  <si>
    <t>Agoda</t>
  </si>
  <si>
    <t>Apex Hotels</t>
  </si>
  <si>
    <t>Best Western</t>
  </si>
  <si>
    <t>Booking.com</t>
  </si>
  <si>
    <t>Britannia Hotels</t>
  </si>
  <si>
    <t>EasyHotel</t>
  </si>
  <si>
    <t>Expedia</t>
  </si>
  <si>
    <t>Hilton</t>
  </si>
  <si>
    <t>Hotel du Vin</t>
  </si>
  <si>
    <t>Hotels.com</t>
  </si>
  <si>
    <t>Hyatt</t>
  </si>
  <si>
    <t>IHG Hotels &amp; Resorts</t>
  </si>
  <si>
    <t>Kayak</t>
  </si>
  <si>
    <t>LateRooms.com</t>
  </si>
  <si>
    <t>Lastminute.com</t>
  </si>
  <si>
    <t>Leonardo Hotels</t>
  </si>
  <si>
    <t>Lomond Leisure Group</t>
  </si>
  <si>
    <t>Macdonald Hotels</t>
  </si>
  <si>
    <t>Malmaison</t>
  </si>
  <si>
    <t>Marriott</t>
  </si>
  <si>
    <t>Millennium Hotels</t>
  </si>
  <si>
    <t>Moxy Hotels</t>
  </si>
  <si>
    <t>Premier Inn</t>
  </si>
  <si>
    <t>Priceline</t>
  </si>
  <si>
    <t>Radisson</t>
  </si>
  <si>
    <t>Snaptrip</t>
  </si>
  <si>
    <t>Skyscanner</t>
  </si>
  <si>
    <t>Thistle Hotels</t>
  </si>
  <si>
    <t>Travelodge</t>
  </si>
  <si>
    <t>Trip.com</t>
  </si>
  <si>
    <t>Trivago</t>
  </si>
  <si>
    <t>Village Hotels</t>
  </si>
  <si>
    <t>Wyndham Hotels &amp; Resorts</t>
  </si>
  <si>
    <t>Yotel</t>
  </si>
  <si>
    <t>Z Hotels</t>
  </si>
  <si>
    <t>Insurance Providers</t>
  </si>
  <si>
    <t>Admiral</t>
  </si>
  <si>
    <t>AXA</t>
  </si>
  <si>
    <t>Churchill</t>
  </si>
  <si>
    <t>Co-op Insurance</t>
  </si>
  <si>
    <t>Direct Line</t>
  </si>
  <si>
    <t>Esure</t>
  </si>
  <si>
    <t>Hastings Direct</t>
  </si>
  <si>
    <t>RAC*</t>
  </si>
  <si>
    <t>RSA Insurance</t>
  </si>
  <si>
    <t>Saga</t>
  </si>
  <si>
    <t>Swinton</t>
  </si>
  <si>
    <t>The AA</t>
  </si>
  <si>
    <t>Tesco Bank</t>
  </si>
  <si>
    <t>Zurich</t>
  </si>
  <si>
    <t>Adrian Flux Insurance</t>
  </si>
  <si>
    <t>ADMIRAL.COM</t>
  </si>
  <si>
    <t>HomeLet</t>
  </si>
  <si>
    <t>Online Lenders &amp; Credit Brokers</t>
  </si>
  <si>
    <t>121money.com</t>
  </si>
  <si>
    <t>247 Moneybox</t>
  </si>
  <si>
    <t>A2Z Loans</t>
  </si>
  <si>
    <t>Ariste Holding Ltd</t>
  </si>
  <si>
    <t>Cash 4 u Now</t>
  </si>
  <si>
    <t>Cash Locator</t>
  </si>
  <si>
    <t>Castle Finance Direct</t>
  </si>
  <si>
    <t>Chequeless</t>
  </si>
  <si>
    <t>Lending Stream</t>
  </si>
  <si>
    <t>Loan Marketing</t>
  </si>
  <si>
    <t>Loan Rocket</t>
  </si>
  <si>
    <t>Loan Spotter</t>
  </si>
  <si>
    <t>Magnum Pay2Z Loans</t>
  </si>
  <si>
    <t>MoneyPlus Group</t>
  </si>
  <si>
    <t>Mr Lender</t>
  </si>
  <si>
    <t>Payday Express</t>
  </si>
  <si>
    <t>Payday UK</t>
  </si>
  <si>
    <t>Pounds to Pocket</t>
  </si>
  <si>
    <t>Premium Credit</t>
  </si>
  <si>
    <t>Quick Quid</t>
  </si>
  <si>
    <t>Sunny</t>
  </si>
  <si>
    <t>UK Credit</t>
  </si>
  <si>
    <t>Wage Day Advance</t>
  </si>
  <si>
    <t>Wonga</t>
  </si>
  <si>
    <t>118118money</t>
  </si>
  <si>
    <t>Online Dating Services</t>
  </si>
  <si>
    <t>AD.Bone-Fish.Com</t>
  </si>
  <si>
    <t>Badoo</t>
  </si>
  <si>
    <t>Epoch.com</t>
  </si>
  <si>
    <t>Global Personals</t>
  </si>
  <si>
    <t>Match.com</t>
  </si>
  <si>
    <t>Payref.info</t>
  </si>
  <si>
    <t>PLENTYOFFISH</t>
  </si>
  <si>
    <t>Venntro Media Group</t>
  </si>
  <si>
    <t>Zoosk</t>
  </si>
  <si>
    <t>Online Retailers &amp; Services (Ge</t>
  </si>
  <si>
    <t>118118 Beauty</t>
  </si>
  <si>
    <t>agelessapothecary.com</t>
  </si>
  <si>
    <t>AlcudaBill</t>
  </si>
  <si>
    <t>All About Prizes</t>
  </si>
  <si>
    <t>Amazon Digital SVCS</t>
  </si>
  <si>
    <t>Amazon Fresh or Amazon Pantry</t>
  </si>
  <si>
    <t>Amazon Prime</t>
  </si>
  <si>
    <t>Amazon UK Retail</t>
  </si>
  <si>
    <t>Amazon Web Services (AWS)</t>
  </si>
  <si>
    <t>ARCHIVES.COM</t>
  </si>
  <si>
    <t>Ask Ziinga</t>
  </si>
  <si>
    <t>Audible.co.uk</t>
  </si>
  <si>
    <t>bilablau.com</t>
  </si>
  <si>
    <t>Big Savings Club</t>
  </si>
  <si>
    <t>Completesave.co.uk</t>
  </si>
  <si>
    <t>Credit Angel</t>
  </si>
  <si>
    <t>Credit Cleaner</t>
  </si>
  <si>
    <t>Creditconfidential.com</t>
  </si>
  <si>
    <t>Credit Expert</t>
  </si>
  <si>
    <t>Credit Reports Matter</t>
  </si>
  <si>
    <t>CreditHub</t>
  </si>
  <si>
    <t>CreditPerfect</t>
  </si>
  <si>
    <t>ECOMMWEBHOST.COM</t>
  </si>
  <si>
    <t>Equifax Ltd</t>
  </si>
  <si>
    <t>Experian</t>
  </si>
  <si>
    <t>GB Discounts</t>
  </si>
  <si>
    <t>GOOGLE PLAY</t>
  </si>
  <si>
    <t>Grattan</t>
  </si>
  <si>
    <t>Ideal Shopping Direct</t>
  </si>
  <si>
    <t>Indesit.co.uk</t>
  </si>
  <si>
    <t>iTunes</t>
  </si>
  <si>
    <t>Juice Plus</t>
  </si>
  <si>
    <t>Knowhow</t>
  </si>
  <si>
    <t>LAITHWAITES WINE</t>
  </si>
  <si>
    <t>LeOr Skincare</t>
  </si>
  <si>
    <t>Let's Go Rewards</t>
  </si>
  <si>
    <t>Littlewoods</t>
  </si>
  <si>
    <t>Live Career</t>
  </si>
  <si>
    <t>LOVEFILM By Post</t>
  </si>
  <si>
    <t>MadBid.Com</t>
  </si>
  <si>
    <t>MCAFEE INTEL SECURITY</t>
  </si>
  <si>
    <t>MICROSOFT OFFICE</t>
  </si>
  <si>
    <t>MICROSOFT XBOXLIVE</t>
  </si>
  <si>
    <t>MIGHTY DEALS</t>
  </si>
  <si>
    <t>My Credit Tracker</t>
  </si>
  <si>
    <t>Nakedwines.com</t>
  </si>
  <si>
    <t>Netflix</t>
  </si>
  <si>
    <t>New Day</t>
  </si>
  <si>
    <t>Norton</t>
  </si>
  <si>
    <t>NOWTV.COM</t>
  </si>
  <si>
    <t>Nutrajump</t>
  </si>
  <si>
    <t>OUTDOOR EXPERIENCE TEI</t>
  </si>
  <si>
    <t>Product Support AG</t>
  </si>
  <si>
    <t>Quick Credit Score</t>
  </si>
  <si>
    <t>Rewards Now</t>
  </si>
  <si>
    <t>Shopperdisc</t>
  </si>
  <si>
    <t>Sony Ent Network</t>
  </si>
  <si>
    <t>Spotify</t>
  </si>
  <si>
    <t>Virgin Wines</t>
  </si>
  <si>
    <t>WLY*MYTIMEREWARDSWL.UK</t>
  </si>
  <si>
    <t>WLY*COMPLETESAVE.CO.UK</t>
  </si>
  <si>
    <t>Xbox Live</t>
  </si>
  <si>
    <t>Payment Processors</t>
  </si>
  <si>
    <t>Adyen</t>
  </si>
  <si>
    <t>Apple Pay</t>
  </si>
  <si>
    <t>Checkout.com</t>
  </si>
  <si>
    <t>Google Pay</t>
  </si>
  <si>
    <t>Magnum Pay</t>
  </si>
  <si>
    <t>Stripe</t>
  </si>
  <si>
    <t>Worldpay</t>
  </si>
  <si>
    <t>Allpay</t>
  </si>
  <si>
    <t>Capita</t>
  </si>
  <si>
    <t>Phone Network Providers</t>
  </si>
  <si>
    <t>1pMobile</t>
  </si>
  <si>
    <t>Asda Mobile</t>
  </si>
  <si>
    <t>BT Mobile</t>
  </si>
  <si>
    <t>CMLink</t>
  </si>
  <si>
    <t>CTExcel</t>
  </si>
  <si>
    <t>EE*</t>
  </si>
  <si>
    <t>Ecotalk</t>
  </si>
  <si>
    <t>Giffgaff.Com</t>
  </si>
  <si>
    <t>Honest Mobile</t>
  </si>
  <si>
    <t>Hutchison 3G UK</t>
  </si>
  <si>
    <t>iD Mobile</t>
  </si>
  <si>
    <t>iQ Mobile</t>
  </si>
  <si>
    <t>Lebara</t>
  </si>
  <si>
    <t>Lyca Mobile</t>
  </si>
  <si>
    <t>Mobile Finder</t>
  </si>
  <si>
    <t>Mozillion</t>
  </si>
  <si>
    <t>Now Mobile</t>
  </si>
  <si>
    <t>O2</t>
  </si>
  <si>
    <t>Onebill telecom</t>
  </si>
  <si>
    <t>Plusnet Mobile</t>
  </si>
  <si>
    <t>Popit</t>
  </si>
  <si>
    <t>RWG Mobile</t>
  </si>
  <si>
    <t>Silux</t>
  </si>
  <si>
    <t>Sky Mobile</t>
  </si>
  <si>
    <t>SMARTY</t>
  </si>
  <si>
    <t>Spusu</t>
  </si>
  <si>
    <t>Superdrug Mobile</t>
  </si>
  <si>
    <t>Talk Home</t>
  </si>
  <si>
    <t>Talkmobile</t>
  </si>
  <si>
    <t>Telefonica O2 UK Limited (O2)</t>
  </si>
  <si>
    <t>Tesco Mobile</t>
  </si>
  <si>
    <t>Three</t>
  </si>
  <si>
    <t>Utility Warehouse</t>
  </si>
  <si>
    <t>Virgin Mobile</t>
  </si>
  <si>
    <t>Vodafone</t>
  </si>
  <si>
    <t>Vodafone Group Plc</t>
  </si>
  <si>
    <t>Voxi</t>
  </si>
  <si>
    <t>Your Co-op</t>
  </si>
  <si>
    <t>Ask Italian</t>
  </si>
  <si>
    <t>Bella Italia</t>
  </si>
  <si>
    <t>Bill's</t>
  </si>
  <si>
    <t>Burger King</t>
  </si>
  <si>
    <t>Caffè Nero</t>
  </si>
  <si>
    <t>Chipotle Mexican Grill</t>
  </si>
  <si>
    <t>Chicken Cottage</t>
  </si>
  <si>
    <t>Costa Coffee</t>
  </si>
  <si>
    <t>Dishoom</t>
  </si>
  <si>
    <t>Domino's Pizza</t>
  </si>
  <si>
    <t>EAT.</t>
  </si>
  <si>
    <t>Ed's Easy Diner</t>
  </si>
  <si>
    <t>Fireaway Pizza</t>
  </si>
  <si>
    <t>Five Guys</t>
  </si>
  <si>
    <t>Franco Manca</t>
  </si>
  <si>
    <t>Gail's</t>
  </si>
  <si>
    <t>Gaucho</t>
  </si>
  <si>
    <t>Greggs</t>
  </si>
  <si>
    <t>Harry Ramsden's</t>
  </si>
  <si>
    <t>Harvester</t>
  </si>
  <si>
    <t>Honest Burgers</t>
  </si>
  <si>
    <t>J D Wetherspoon (or "Wetherspoons")</t>
  </si>
  <si>
    <t>Kaspa's</t>
  </si>
  <si>
    <t>KFC</t>
  </si>
  <si>
    <t>Krispy Kreme</t>
  </si>
  <si>
    <t>Leon</t>
  </si>
  <si>
    <t>McDonald's</t>
  </si>
  <si>
    <t>Millie's Cookies</t>
  </si>
  <si>
    <t>Miller &amp; Carter Steakhouse</t>
  </si>
  <si>
    <t>Morley's</t>
  </si>
  <si>
    <t>Nando's</t>
  </si>
  <si>
    <t>Patty &amp; Bun</t>
  </si>
  <si>
    <t>Pizza Express</t>
  </si>
  <si>
    <t>Pizza Hut</t>
  </si>
  <si>
    <t>Pizza Pilgrims</t>
  </si>
  <si>
    <t>Pret A Manger</t>
  </si>
  <si>
    <t>Pure</t>
  </si>
  <si>
    <t>Southern Fried Chicken</t>
  </si>
  <si>
    <t>Starbucks</t>
  </si>
  <si>
    <t>Subway</t>
  </si>
  <si>
    <t>The Real Greek</t>
  </si>
  <si>
    <t>TGI Fridays</t>
  </si>
  <si>
    <t>Toby Carvery</t>
  </si>
  <si>
    <t>Tortilla</t>
  </si>
  <si>
    <t>Wahaca</t>
  </si>
  <si>
    <t>Wagamama</t>
  </si>
  <si>
    <t>Wasabi</t>
  </si>
  <si>
    <t>Wimpy</t>
  </si>
  <si>
    <t>Wrapchic</t>
  </si>
  <si>
    <t>Zizzi</t>
  </si>
  <si>
    <t>Just Eat (online food order and delivery service)</t>
  </si>
  <si>
    <t>Travel Agencies (Online)</t>
  </si>
  <si>
    <t>Cheapflights</t>
  </si>
  <si>
    <t>eDreams</t>
  </si>
  <si>
    <t>Flight Centre</t>
  </si>
  <si>
    <t>Love Holidays</t>
  </si>
  <si>
    <t>Omio</t>
  </si>
  <si>
    <t>Opodo</t>
  </si>
  <si>
    <t>Orbitz</t>
  </si>
  <si>
    <t>Travelocity</t>
  </si>
  <si>
    <t>TripAdvisor</t>
  </si>
  <si>
    <t>Lowcostholidays</t>
  </si>
  <si>
    <t>Transport Merchants (General)</t>
  </si>
  <si>
    <t>Arriva</t>
  </si>
  <si>
    <t>Brittany Ferries</t>
  </si>
  <si>
    <t>Chiltern Railways</t>
  </si>
  <si>
    <t>CrossCountry</t>
  </si>
  <si>
    <t>DFDS Seaways</t>
  </si>
  <si>
    <t>East Midlands Railway</t>
  </si>
  <si>
    <t>Eurostar</t>
  </si>
  <si>
    <t>Eurotunnel</t>
  </si>
  <si>
    <t>FirstGroup</t>
  </si>
  <si>
    <t>Go-Ahead Group</t>
  </si>
  <si>
    <t>Grand Central</t>
  </si>
  <si>
    <t>GWR (Great Western Railway)</t>
  </si>
  <si>
    <t>Hull Trains</t>
  </si>
  <si>
    <t>Irish Ferries</t>
  </si>
  <si>
    <t>JustPark</t>
  </si>
  <si>
    <t>LNER (London North Eastern Railway)</t>
  </si>
  <si>
    <t>London Northwestern Railway</t>
  </si>
  <si>
    <t>Megabus</t>
  </si>
  <si>
    <t>National Express</t>
  </si>
  <si>
    <t>National Parking Enforcement (NPE)</t>
  </si>
  <si>
    <t>National Rail</t>
  </si>
  <si>
    <t>NCP (National Car Parks)</t>
  </si>
  <si>
    <t>Northern Rail</t>
  </si>
  <si>
    <t>Oyster (TfL payment system)</t>
  </si>
  <si>
    <t>P&amp;O Ferries</t>
  </si>
  <si>
    <t>Parkopedia</t>
  </si>
  <si>
    <t>PayByPhone</t>
  </si>
  <si>
    <t>Red Funnel</t>
  </si>
  <si>
    <t>RingGo</t>
  </si>
  <si>
    <t>ScotRail</t>
  </si>
  <si>
    <t>Southeastern</t>
  </si>
  <si>
    <t>Southern</t>
  </si>
  <si>
    <t>Stagecoach</t>
  </si>
  <si>
    <t>Stena Line</t>
  </si>
  <si>
    <t>Thameslink</t>
  </si>
  <si>
    <t>TfL</t>
  </si>
  <si>
    <t>TicketMaster</t>
  </si>
  <si>
    <t>Trainline</t>
  </si>
  <si>
    <t>Wightlink</t>
  </si>
  <si>
    <t>Review if over &gt;1,000</t>
  </si>
  <si>
    <t>"Could this be a vehicle purchase?" - If user says no - "Was this purchase for trade purposes?"</t>
  </si>
  <si>
    <t>If Yes to vehicle purchase, then proceed Capital allowancesquestions (in capital allowance page) if yes for trade, deduct from expenses</t>
  </si>
  <si>
    <t>Sky (for broadband)</t>
  </si>
  <si>
    <t xml:space="preserve"> To make this work we have to use FUZZY MATCHING - This will help with ensuring the transaction is matched regardless of the string form.</t>
  </si>
  <si>
    <t>✅ What is Fuzzy Matching?</t>
  </si>
  <si>
    <r>
      <t>Fuzzy matching</t>
    </r>
    <r>
      <rPr>
        <sz val="11"/>
        <color theme="1"/>
        <rFont val="Aptos Narrow"/>
        <family val="2"/>
        <scheme val="minor"/>
      </rPr>
      <t xml:space="preserve"> is the process of identifying </t>
    </r>
    <r>
      <rPr>
        <b/>
        <sz val="11"/>
        <color theme="1"/>
        <rFont val="Aptos Narrow"/>
        <family val="2"/>
        <scheme val="minor"/>
      </rPr>
      <t>approximate</t>
    </r>
    <r>
      <rPr>
        <sz val="11"/>
        <color theme="1"/>
        <rFont val="Aptos Narrow"/>
        <family val="2"/>
        <scheme val="minor"/>
      </rPr>
      <t xml:space="preserve"> rather than </t>
    </r>
    <r>
      <rPr>
        <b/>
        <sz val="11"/>
        <color theme="1"/>
        <rFont val="Aptos Narrow"/>
        <family val="2"/>
        <scheme val="minor"/>
      </rPr>
      <t>exact</t>
    </r>
    <r>
      <rPr>
        <sz val="11"/>
        <color theme="1"/>
        <rFont val="Aptos Narrow"/>
        <family val="2"/>
        <scheme val="minor"/>
      </rPr>
      <t xml:space="preserve"> matches between strings. This is crucial for:</t>
    </r>
  </si>
  <si>
    <r>
      <t xml:space="preserve">Matching noisy, inconsistent, or abbreviated data (e.g., </t>
    </r>
    <r>
      <rPr>
        <sz val="10"/>
        <color theme="1"/>
        <rFont val="Arial Unicode MS"/>
      </rPr>
      <t>RYANAIR DAC 12345</t>
    </r>
    <r>
      <rPr>
        <sz val="11"/>
        <color theme="1"/>
        <rFont val="Aptos Narrow"/>
        <family val="2"/>
        <scheme val="minor"/>
      </rPr>
      <t>)</t>
    </r>
  </si>
  <si>
    <t>Handling typos, different word orders, suffixes, etc.</t>
  </si>
  <si>
    <t xml:space="preserve">📌 Who Has to Pay?
A user must repay student loans through Self Assessment if they:
- Have income above the repayment threshold (Intellibooks will check if employment income is above the thresholds if this is pulled from HMRC's API)
- Have an outstanding loan with the Student Loans Company (SLC)
IntelliBooks should ask:
“Do you have a student loan?” with options:
- Plan 1
- Plan 2
- Plan 4
- Postgraduate Loan
- No I dont
💰 How Repayment Works
Loan Types and Thresholds (2025/26 estimates):
- Plan 1: £24,990 at 9%
- Plan 2: £27,295 at 9%
- Plan 4 (Scotland): £31,395 at 9%
- Postgraduate Loan: £21,000 at 6%
Repayments apply to income above the respective thresholds.
✅ IntelliBooks Calculation Logic
Example: Income = £42,000, Plan 2
Repayment = (42,000 - 27,295) × 9% = £1,569.45
Postgraduate Loan (if applicable):
Repayment = (42,000 - 21,000) × 6% = £1,860
IB should calculate both and display separately.
📤 What to Submit to HMRC (API)
You do not submit repayment amounts. You only submit the plan flags:
- Student Loan Plan 
- Postgrad Loan
</t>
  </si>
  <si>
    <t>if total income for the year is less that 12,570</t>
  </si>
  <si>
    <t>UK Property Income - Furnished Holiday Let</t>
  </si>
  <si>
    <t>UK Property Income - Rent-A-Room</t>
  </si>
  <si>
    <t>UK Property Income - Residential Rental Income</t>
  </si>
  <si>
    <t>UK Property Income - Commerical Rental Income</t>
  </si>
  <si>
    <t>Dividend Income (Foreign Income)</t>
  </si>
  <si>
    <t>Savings Income (Foreign Income)</t>
  </si>
  <si>
    <t>Furnished Holiday Let (EEA Property) (Foreign Income)</t>
  </si>
  <si>
    <t>Furnished Holiday Let (Outside UK and EEA) (Foreign Income)</t>
  </si>
  <si>
    <t>Residential Rental Income (Foreign Income)</t>
  </si>
  <si>
    <t>Commerical Rental Income (Foreign Income)</t>
  </si>
  <si>
    <t>Capital Gains (Foreign Income)</t>
  </si>
  <si>
    <t>Employment Income (Foreign Income)</t>
  </si>
  <si>
    <t>Ask user to upload documentation for foreign tax deducted at source "taxpaid"</t>
  </si>
  <si>
    <t>If user has specified this type of  income, Ask user for address of the property. Also detected on bank feeds, i.e from accomodation and hospitality websites such as AirBNB or Booking.com - Address of this property needs to be entered to see country and to ensure not main residence.</t>
  </si>
  <si>
    <t>&lt;&lt;&lt;&lt;&lt;&lt;&lt;&lt;&lt;&lt;&lt;&lt;&lt;&lt;&lt;&lt;&lt;&lt;&lt;&lt;&lt;&lt;&lt;&lt;&lt;&lt;&lt;&lt;&lt;&lt;&lt;&lt;&lt;&lt;&lt;&lt;&lt;&lt;&lt;&lt;&lt;&lt;&lt;&lt;&lt;</t>
  </si>
  <si>
    <t>&lt;&lt;&lt;&lt;&lt;&lt;&lt;&lt;&lt;&lt;&lt;&lt;&lt;&lt;&lt;&lt;&lt;&lt;&lt;&lt;&lt;&lt;&lt;&lt;&lt;&lt;&lt;,,</t>
  </si>
  <si>
    <t>If uploaded by user OCR detects Interest element and records the amount relating to the tax year.</t>
  </si>
  <si>
    <t>TRANSACTION CATEGORIES AND OTHER INFORMATION FOR AUTOMATIC ML BANK CATEGORISATION</t>
  </si>
  <si>
    <t>HOW TO CALCULATE TAXES</t>
  </si>
  <si>
    <t>TAXABLE INCOME TYPES AND ALLOWANCES FOR EACH</t>
  </si>
  <si>
    <t>"Is this your only source of income?"</t>
  </si>
  <si>
    <t>total in paid to registered UK pension provider - pension paid in bank times by 100 divided by 80 always. Then also increase tax bands by this amount</t>
  </si>
  <si>
    <t>&lt;&lt;&lt;&lt;&lt;&lt;&lt;&lt;&lt;&lt;&lt;&lt;&lt;&lt;&lt;&lt;&lt;&lt;&lt;&lt;</t>
  </si>
  <si>
    <t>MERCHANT LISTING</t>
  </si>
  <si>
    <t>In case our subcategories do not work, the merchant listing will help us identify where they should go for tax and for accounting purposes - This is the fallback in case the first way of categorising fails.</t>
  </si>
  <si>
    <t>If this is all used up, then most vehicles depending on emissions go into MP (18%)</t>
  </si>
  <si>
    <t>Rule for IB:</t>
  </si>
  <si>
    <t>Allowance:</t>
  </si>
  <si>
    <t>Main Pool always</t>
  </si>
  <si>
    <t>Check for</t>
  </si>
  <si>
    <t>First Year Allowance</t>
  </si>
  <si>
    <t>If business use &lt;100%, ensure you only take business percentage</t>
  </si>
  <si>
    <t>Put in the main pool of 18% allowance</t>
  </si>
  <si>
    <t>Special Rate - 6%</t>
  </si>
  <si>
    <t>Put in the special rate pool of 6% allowance</t>
  </si>
  <si>
    <t>If business use &lt;100%, ensure you only take business percentage and then also multiply by rate</t>
  </si>
  <si>
    <t>Whole amount is allowable and can be allowed under capital allowances</t>
  </si>
  <si>
    <t>Emissions</t>
  </si>
  <si>
    <t>&gt;50g/km</t>
  </si>
  <si>
    <t xml:space="preserve"> ≤ 50g/km</t>
  </si>
  <si>
    <t>AIA - if £1m used up in the year then based on emissions rules</t>
  </si>
  <si>
    <t>Emissions Rules</t>
  </si>
  <si>
    <t>Pool</t>
  </si>
  <si>
    <t>Partial business use</t>
  </si>
  <si>
    <t>Put in its own pool and check emissions for rate to use above</t>
  </si>
  <si>
    <t xml:space="preserve"> 1 g/km &gt;= ≤ 50g/km</t>
  </si>
  <si>
    <t>WDA – Special Rate Pool</t>
  </si>
  <si>
    <t>AIA (If AIA is used up Main Pool)</t>
  </si>
  <si>
    <t>First Year Allowance (100%)</t>
  </si>
  <si>
    <t>Special Rate Pool (6%)</t>
  </si>
  <si>
    <t>Depends</t>
  </si>
  <si>
    <t>Put in AIA, and when AIA limit of £1m used up in that tax year, but in pool depending on emissions</t>
  </si>
  <si>
    <t>Business use,  AIA allowance - If used If business use &lt;100%, ensure you only take business percentage</t>
  </si>
  <si>
    <t>UK-Dom - Tax as normal with PA - Cannot claim RBA</t>
  </si>
  <si>
    <t>Use Personal allowance tax as normal</t>
  </si>
  <si>
    <t>If daily transactions read "Foreign" for more than 50% then UK non resident and can claim RBA charge rules</t>
  </si>
  <si>
    <t>If daily transations read "UK" for more than 50% of the year then UK Resident.</t>
  </si>
  <si>
    <t xml:space="preserve">  </t>
  </si>
  <si>
    <t>STUDENT LOANS RULES</t>
  </si>
  <si>
    <t>selfEmployment.income.turnover</t>
  </si>
  <si>
    <t>selfEmployment.capitalAllowances</t>
  </si>
  <si>
    <t>selfEmployment.tradingAllowance</t>
  </si>
  <si>
    <t>capitalgains.totalGains</t>
  </si>
  <si>
    <t>capitalGains.annualExemptAmountUsed</t>
  </si>
  <si>
    <t>capitalGains.businessAssetRolloverRelief</t>
  </si>
  <si>
    <t>pension.Contributions.totalPaymentsIntoRAS</t>
  </si>
  <si>
    <t>API Name:</t>
  </si>
  <si>
    <t>giftAidPayments. totalAmount</t>
  </si>
  <si>
    <t>marriageAllowance.transferor</t>
  </si>
  <si>
    <t>studentLoan.planType</t>
  </si>
  <si>
    <t>Student Loan Plan Type</t>
  </si>
  <si>
    <t>Student Loan Postgrad Loan flag</t>
  </si>
  <si>
    <t>studentLoan.postgradLoan</t>
  </si>
  <si>
    <t>foreignIncome.foreignDividends</t>
  </si>
  <si>
    <t>foreignIncome.foreignInterest</t>
  </si>
  <si>
    <t>foreignIncome.eeaFhlProperty</t>
  </si>
  <si>
    <t>foreignIncome.foreignPropertyIncome</t>
  </si>
  <si>
    <t>foreignIncome.foreignTaxPaid</t>
  </si>
  <si>
    <t>capital.Gains.annualExemptAmountUsed</t>
  </si>
  <si>
    <t>foreignIncome.remittanceBasis</t>
  </si>
  <si>
    <t>foreignIncome.foreignEmploymentIncome</t>
  </si>
  <si>
    <t>trustAndEstates.amount</t>
  </si>
  <si>
    <t>ukProperty.ukFhlProperty</t>
  </si>
  <si>
    <t>ukProperty.ukNonFhlProperty</t>
  </si>
  <si>
    <t>employment.income</t>
  </si>
  <si>
    <t>dividendsIncome.ukDividends</t>
  </si>
  <si>
    <t>savingsAndGainsIncome.bankInterest</t>
  </si>
  <si>
    <t>API Field Name</t>
  </si>
  <si>
    <t>capitalAllowance.MainPool</t>
  </si>
  <si>
    <t>capitalAllowance.SpecialRatePool</t>
  </si>
  <si>
    <t>capitalAllowance.SingleAssetPool</t>
  </si>
  <si>
    <t>ONLY IF AIA  OF £1M IS USED UP, IF THIS IS? THEN THE ALLOWABLE ASSETS GO INTO THE SPECIFIED POOLS &lt;&lt;&lt;&lt;&lt;</t>
  </si>
  <si>
    <t>If &gt;£500 in category of service and auto parts as well as electronics and software, and home</t>
  </si>
  <si>
    <t>&gt;=£500</t>
  </si>
  <si>
    <t>"Is this an item you will use for more than a short period?"</t>
  </si>
  <si>
    <t>If met then apply capital allowances rules shown in the "Capital Allowances tab"</t>
  </si>
  <si>
    <t>AI Flag:</t>
  </si>
  <si>
    <t>If an unusual amount has come in to the bank, we can ask the user what this is for. If this is for the sale of a business asset used, we ask the owner if they are looking to buy a new one (of the same item)</t>
  </si>
  <si>
    <t>AI Prompt: IB will calculate if total NI (Class 1 employee + Class 4 Self Employed) exceeds annual limit.</t>
  </si>
  <si>
    <t>If user specifies this income type and if amount falls withing specified range. (Trigger Remittance basis rules)</t>
  </si>
  <si>
    <t>If user has specified this type of foreign income, Ask user for address of the property. Also detected on bank feeds, i.e from accomodation and hospitality websites such as AirBNB or Booking.com - Address of this property needs to be entered to see country and to ensure not main residence. (Trigger Remittance basis rules)</t>
  </si>
  <si>
    <t>cisDeductions.deductedAmount</t>
  </si>
  <si>
    <t>If they specify this upon industry picking and setup of company</t>
  </si>
  <si>
    <t>Store loss by source for future year offset - if loss made in that year</t>
  </si>
  <si>
    <t>Did you make a loss and want to apply it to reduce last year’s income tax bill?</t>
  </si>
  <si>
    <t>Would you prefer to store this loss and use it in a future tax year when your profits return?</t>
  </si>
  <si>
    <t>Is this your first 4 years of trading and you made a loss?</t>
  </si>
  <si>
    <t>Are you stopping your business this year and have made a loss?</t>
  </si>
  <si>
    <t>Did you make a capital loss and want to reduce this year’s capital gains tax bill?</t>
  </si>
  <si>
    <t>Do you want to store this capital loss and use it against future capital gains?</t>
  </si>
  <si>
    <t>"Did you make a loss this year and want to reduce this year’s tax bill?"</t>
  </si>
  <si>
    <t>Offset against total income in current year (before personal allowance)</t>
  </si>
  <si>
    <t>If income in previous year was higher or loss is early year loss</t>
  </si>
  <si>
    <t>When no current/prior year relief is chosen</t>
  </si>
  <si>
    <t>Offset against income from the 3 years prior to the loss year (FIFO)</t>
  </si>
  <si>
    <t>Offset against profits of the last 3 tax years (LIFO)</t>
  </si>
  <si>
    <t>If CGT liability exists and loss is in same year</t>
  </si>
  <si>
    <t>When not fully used in current year or unused loss exists</t>
  </si>
  <si>
    <t>How to apply:</t>
  </si>
  <si>
    <t>1. Retrieve previous year’s income
2. Subtract current year loss from that amount
3. Recalculate prior year tax</t>
  </si>
  <si>
    <t>1. Start from earliest of prior 3 years
2. Apply loss to each year until used up
3. Recalculate tax for affected years</t>
  </si>
  <si>
    <t>1. Start from latest of prior 3 years
2. Offset loss backwards
3. Recalculate tax per year offset</t>
  </si>
  <si>
    <t>1. Calculate total gains
2. Subtract allowable capital losses
3. Then apply £3,000 annual CGT exemption</t>
  </si>
  <si>
    <t>1. Store unused loss in CGT loss pool
2. Auto apply in future gains before applying exemptions</t>
  </si>
  <si>
    <t>1. Take total income from self emplyment and property income sources
2. Subtract business loss
3. Apply personal allowance to remaining income</t>
  </si>
  <si>
    <t>1. Record unused loss (asked to user on setup)
2. Track by trade/source
3. Apply automatically when next profit arises in same trade</t>
  </si>
  <si>
    <t>Examples for Each Loss Relief Type</t>
  </si>
  <si>
    <t>Same-Year Relief</t>
  </si>
  <si>
    <t>Maya runs a small consultancy and had £18,000 in employment income and made a £5,000 trading loss in the same year.</t>
  </si>
  <si>
    <t>Step-by-step:</t>
  </si>
  <si>
    <t>1. Total income = £18,000</t>
  </si>
  <si>
    <t>2. Subtract loss: £18,000 − £5,000 = £13,000</t>
  </si>
  <si>
    <t>3. Apply personal allowance (£12,570)</t>
  </si>
  <si>
    <t>4. Taxable income = £430</t>
  </si>
  <si>
    <t>Only £430 is taxed instead of £5,430 (if no relief was used).</t>
  </si>
  <si>
    <t>Carry Back to Previous Year</t>
  </si>
  <si>
    <t>James had a trading loss of £7,000 this year. Last year, his total income was £15,000.</t>
  </si>
  <si>
    <t>1. Carry back £7,000 loss to last year</t>
  </si>
  <si>
    <t>2. Adjusted prior year income = £15,000 − £7,000 = £8,000</t>
  </si>
  <si>
    <t>3. Recalculate last year’s tax based on £8,000 income</t>
  </si>
  <si>
    <t>Result: Refund due from HMRC for overpaid tax.</t>
  </si>
  <si>
    <t>Carry Forward</t>
  </si>
  <si>
    <t>Tariq made a £6,000 loss this year and had no other income to offset.</t>
  </si>
  <si>
    <t>1. No offset this year or last year</t>
  </si>
  <si>
    <t>2. Carry forward £6,000 to future years</t>
  </si>
  <si>
    <t>3. Next year, he earns £9,000 from the same business</t>
  </si>
  <si>
    <t>4. Auto apply £6,000 to reduce next year’s taxable profit</t>
  </si>
  <si>
    <t>Taxable profit in next year = £3,000.</t>
  </si>
  <si>
    <t>Early Years Loss Relief</t>
  </si>
  <si>
    <t>Layla started her business in 2022 and had a £9,000 trading loss.</t>
  </si>
  <si>
    <t>Past income:</t>
  </si>
  <si>
    <t>- 2019: £6,000</t>
  </si>
  <si>
    <t>- 2020: £4,000</t>
  </si>
  <si>
    <t>- 2021: £2,000</t>
  </si>
  <si>
    <t>Step-by-step (FIFO):</t>
  </si>
  <si>
    <t>1. Offset £6,000 to 2019</t>
  </si>
  <si>
    <t>2. Offset £3,000 to 2020</t>
  </si>
  <si>
    <t>3. No amount left for 2021</t>
  </si>
  <si>
    <t>Her tax is recalculated for those prior years and HMRC refunds any overpaid tax.</t>
  </si>
  <si>
    <t>Terminal Loss Relief</t>
  </si>
  <si>
    <t>Ajay closed his plumbing business in 2025 and made a final-year loss of £10,000.</t>
  </si>
  <si>
    <t>Previous profits:</t>
  </si>
  <si>
    <t>- 2024: £5,000</t>
  </si>
  <si>
    <t>- 2023: £4,000</t>
  </si>
  <si>
    <t>- 2022: £3,000</t>
  </si>
  <si>
    <t>Step-by-step (LIFO):</t>
  </si>
  <si>
    <t>1. Offset £4,000 to 2024 → £6,000 remaining</t>
  </si>
  <si>
    <t>2. Offset £4,000 to 2023 → £2,000 remaining</t>
  </si>
  <si>
    <t>3. Offset £2,000 to 2022 → £0 remaining</t>
  </si>
  <si>
    <t>All three years are updated, and previous tax is refunded.</t>
  </si>
  <si>
    <t>Offset Capital Loss Against Current Gains</t>
  </si>
  <si>
    <t>Maria sold shares and made a gain of £12,000. She also sold crypto and lost £4,000.</t>
  </si>
  <si>
    <t>1. Net gain = £12,000 − £4,000 = £8,000</t>
  </si>
  <si>
    <t>2. Apply annual CGT allowance (£3,000) = £5,000 taxable gain</t>
  </si>
  <si>
    <t>She only pays CGT on £5,000 instead of £9,000.</t>
  </si>
  <si>
    <t>Carry Forward Capital Loss</t>
  </si>
  <si>
    <t>Dev made a £5,000 capital loss this year but had no gains to offset.</t>
  </si>
  <si>
    <t>1. Store £5,000 in CGT loss pool</t>
  </si>
  <si>
    <t>2. Next year, he makes a £10,000 gain on property</t>
  </si>
  <si>
    <t>3. Apply £5,000 loss first → only £5,000 gain remains</t>
  </si>
  <si>
    <t>4. Apply £3,000 CGT exemption → £2,000 taxable</t>
  </si>
  <si>
    <t>Only £2,000 is subject to CGT.</t>
  </si>
  <si>
    <t xml:space="preserve">Offset against total income if user says "Yes", in current year before tax bands. - also if it is expected that a loss will be made in the year, then let user know. If this applies then IB should ask whether they should apply this. - If they have no other qualifying income to offset against, then carry forward or previous year. </t>
  </si>
  <si>
    <t>Calculate prior year tax &amp; apply relief in current return - then we amend  last financial year retun IF deadline for last return is not up yet.</t>
  </si>
  <si>
    <t>21)</t>
  </si>
  <si>
    <t>Apply Student Loan to pay (look at student loan tab for calculation)</t>
  </si>
  <si>
    <t>If loss, apply loss reliefs (if income is left after loss deducted, the allowances can be applied, if not then do not apply)</t>
  </si>
  <si>
    <t>22)</t>
  </si>
  <si>
    <t>Loss Relief Recommendation Scenarios – IntelliBooks</t>
  </si>
  <si>
    <t>Scenario</t>
  </si>
  <si>
    <t>Recommended Relief</t>
  </si>
  <si>
    <t>Why This Works</t>
  </si>
  <si>
    <t>User is in their 1st year of trading, made a loss, and had employment income in past 3 years.</t>
  </si>
  <si>
    <t>Early Year Loss Relief</t>
  </si>
  <si>
    <t>Allows loss to be carried back up to 3 years, oldest year first. Can generate a refund if previous income existed.</t>
  </si>
  <si>
    <t>Prompt user to enter prior year incomes or upload old SA100s.</t>
  </si>
  <si>
    <t>User closed their business this year and has made a large loss.</t>
  </si>
  <si>
    <t>Can apply loss to final 3 years' profits, most recent year first. Ideal for ending businesses.</t>
  </si>
  <si>
    <t>Must have had trading profits in previous years to benefit.</t>
  </si>
  <si>
    <t>User made a loss but already filed last year’s return more than 12 months ago.</t>
  </si>
  <si>
    <t>Carry Forward Loss Relief</t>
  </si>
  <si>
    <t>Carry forward ensures relief isn't lost and can reduce tax when profits return.</t>
  </si>
  <si>
    <t>Carry forward automatically tracked by IntelliBooks until used.</t>
  </si>
  <si>
    <t>User wants to reduce this year’s tax bill from employment or other income.</t>
  </si>
  <si>
    <t>Same-Year Loss Relief</t>
  </si>
  <si>
    <t>Loss reduces current total income before applying the personal allowance.</t>
  </si>
  <si>
    <t>Only applies if user has other taxable income in same year.</t>
  </si>
  <si>
    <t>User has not filed last year’s return and made a loss this year.</t>
  </si>
  <si>
    <t>If prior year income was high, this gives immediate tax saving or refund.</t>
  </si>
  <si>
    <t>Can be applied directly in SA100 or as amendment if return already submitted recently.</t>
  </si>
  <si>
    <t>User made a capital loss this year and also made a capital gain.</t>
  </si>
  <si>
    <t>Offset Capital Loss</t>
  </si>
  <si>
    <t>Offsets current year loss before applying CGT exemption. Reduces tax bill now.</t>
  </si>
  <si>
    <t>Order: capital loss → gain → then £3k exemption.</t>
  </si>
  <si>
    <t>User made a capital loss but had no capital gain this year.</t>
  </si>
  <si>
    <t>Loss saved to reduce CGT in future years.</t>
  </si>
  <si>
    <t>IntelliBooks will track and auto-apply to future gains.</t>
  </si>
  <si>
    <t>Eligible Loss Relief Options</t>
  </si>
  <si>
    <t>API Logic Flags</t>
  </si>
  <si>
    <t>earlyTradeLossRelief, lossesCarriedForward, lossesAppliedToGeneralIncome</t>
  </si>
  <si>
    <t>- Early Year Loss Relief
- Carry Forward (optional)
- Same-Year Relief (if income exists)</t>
  </si>
  <si>
    <t>- Terminal Loss Relief
- Carry Forward (if not all used)
- Same-Year Relief (if income exists)</t>
  </si>
  <si>
    <t>terminalLossRelief, lossesCarriedForward, lossesAppliedToGeneralIncome</t>
  </si>
  <si>
    <t>- Carry Forward
- Same-Year Relief (if income exists)</t>
  </si>
  <si>
    <t>lossesCarriedForward, lossesAppliedToGeneralIncome</t>
  </si>
  <si>
    <t>- Same-Year Relief only</t>
  </si>
  <si>
    <t>- Carry Back to Previous Year
- Same-Year Relief
- Carry Forward (optional)</t>
  </si>
  <si>
    <t>lossesCarriedBackToPreviousYear, lossesAppliedToGeneralIncome, lossesCarriedForward</t>
  </si>
  <si>
    <t>- Offset Capital Loss
- Carry Forward Capital Loss (if any balance)</t>
  </si>
  <si>
    <t>lossesUsedAgainstGains, lossesCarriedForward</t>
  </si>
  <si>
    <t>- Carry Forward Capital Loss only</t>
  </si>
  <si>
    <t>Prompt to user:</t>
  </si>
  <si>
    <t>"How long have you been resident in the uk?"</t>
  </si>
  <si>
    <t>UK resident and foreign income chosen - Can use Remittance basis</t>
  </si>
  <si>
    <t>Non -UK resident and foreign income - Cannot use Remittance basis</t>
  </si>
  <si>
    <r>
      <t xml:space="preserve">If UK transactions &lt;50% in a day we put </t>
    </r>
    <r>
      <rPr>
        <b/>
        <sz val="11"/>
        <color theme="1"/>
        <rFont val="Aptos Narrow"/>
        <family val="2"/>
        <scheme val="minor"/>
      </rPr>
      <t>Foreign</t>
    </r>
    <r>
      <rPr>
        <sz val="11"/>
        <color theme="1"/>
        <rFont val="Aptos Narrow"/>
        <family val="2"/>
        <scheme val="minor"/>
      </rPr>
      <t>, check IBAN (if GB….) - We check each day what transactions are foreign predominant</t>
    </r>
  </si>
  <si>
    <t>Self-employment, employment income, property, FHL</t>
  </si>
  <si>
    <t>For contractors in construction - A bit like PAYE but for construction (If they pass the questions in the Industry page)</t>
  </si>
  <si>
    <t>We do not send this amount to HMRC, they will calculate themselves. But for the sake of the daily tax liability we need to calculate in the bank end</t>
  </si>
  <si>
    <t>Daily Tax Calculation Method – IntelliBooks (Sole Trader)</t>
  </si>
  <si>
    <t>Purpose: give a clear, automatable method to (1) compute an up‑to‑date daily tax liability, (2) check if current cash is enough to cover upcoming tax deadlines, and (3) recommend a monthly set‑aside amount. This aligns with your Rules &amp; Logic under SOLE TRADER and HMRC submission flow.</t>
  </si>
  <si>
    <t>1) Data Inputs &amp; Sources (auto‑collected)</t>
  </si>
  <si>
    <t>• Bank feeds (Open Banking): categorised cash in/out; CIS receipts; recurring patterns.</t>
  </si>
  <si>
    <t>• User profile: jurisdiction (Scotland vs rUK), marital status, student loan plan, CIS registration, pension/gift aid flags.</t>
  </si>
  <si>
    <t>• Income modules: self‑employment (turnover, allowable/disallowable, capital allowances), UK property (FHL/non‑FHL), dividends, savings, capital gains.</t>
  </si>
  <si>
    <t>• Losses: brought‑forward pools (via MTD losses API if available) and current‑year loss choices (same‑year/carry‑back/carry‑forward).</t>
  </si>
  <si>
    <t>• Adjustments: pensions (relief‑at‑source gross up), Gift Aid (gross up), trading/property allowances, rent‑a‑room, mortgage interest rules, PSA/starting rate, dividend allowance.</t>
  </si>
  <si>
    <t>• HMRC feeds (where available): PAYE employment income/tax deducted, CIS deducted at source, student loan flags, prior‑year liability for Payments on Account logic.</t>
  </si>
  <si>
    <t>• Config (per tax year): income tax bands (rUK/Scotland), dividend/savings/CGT allowances, NI Class 2/4 thresholds and rates.</t>
  </si>
  <si>
    <t>2) High‑Level Algorithm (daily run)</t>
  </si>
  <si>
    <t>• A. Build YTD ledgers by source: self‑employment profit, property profit, dividends, savings, employment PAYE, CGT, other.</t>
  </si>
  <si>
    <t>• B. Forecast full‑year values (choose default = Smoothed):    • Conservative = use YTD only;  • Smoothed = YTD + recognised recurring items;  • Trend = YTD annualised with seasonality weights.</t>
  </si>
  <si>
    <t>• C. Compute Adjusted Net Income (ANI) and Personal Allowance (with taper if ANI &gt; £100k).</t>
  </si>
  <si>
    <t>• D. Apply band widening for Gift Aid/Pension (grossed up) to income, savings, dividends bands.</t>
  </si>
  <si>
    <t>• E. Calculate Income Tax by bands (rUK or Scotland), then Savings &amp; Dividend taxes with their allowances; add CGT if present.</t>
  </si>
  <si>
    <t>• F. Add National Insurance (Class 4 + Class 2/voluntary) from projected self‑employment profits.</t>
  </si>
  <si>
    <t>• G. Add Student Loan repayment based on selected plan thresholds.</t>
  </si>
  <si>
    <t>• H. Subtract credits already paid/deducted: PAYE tax deducted, CIS at source, tax deducted on trusts, foreign tax credit (capped).</t>
  </si>
  <si>
    <t>• I. Determine Payments on Account (POA) obligations from prior‑year liability and compute next deadlines (31 Jan, 31 Jul).</t>
  </si>
  <si>
    <t>• J. Produce: (1) Projected Year‑End SA bill, (2) Balance due at next deadline, (3) Daily and Monthly set‑aside targets,    (4) Cash sufficiency status vs bank balances and Tax Pot.</t>
  </si>
  <si>
    <t>3) Detailed Calculation Logic (formulas)</t>
  </si>
  <si>
    <t>3.1 Income &amp; profit (projected full‑year)</t>
  </si>
  <si>
    <t>Self‑employment profit = (Turnover − Allowable expenses − Capital allowances or Trading allowance). Apply loss relief choices and property allowances per your rules.</t>
  </si>
  <si>
    <t>3.2 Adjusted Net Income (ANI) and Personal Allowance (PA)</t>
  </si>
  <si>
    <t>ANI = Total taxable income (employment + self‑employment + property + savings + dividends) − Gross Gift Aid − Gross Pension (Relief‑at‑Source).</t>
  </si>
  <si>
    <t>PA taper: if ANI ≤ £100,000 → PA = £12,570. If ANI &gt; £100,000 → reduction = (ANI − 100,000)/2. Tapered PA = max(0, 12,570 − reduction).</t>
  </si>
  <si>
    <t>3.3 Band widening (Gift Aid &amp; Pension)</t>
  </si>
  <si>
    <t>Band extension = Gross Gift Aid + Gross Pension. Increase basic/higher bands by this extension when allocating taxable income, after deducting PA. (Dividend allowance £500 and PSA/starting rate applied in their sections.)</t>
  </si>
  <si>
    <t>3.4 Income Tax (rUK or Scotland)</t>
  </si>
  <si>
    <t>Taxable income after PA is allocated to bands: rUK (20/40/45) or Scotland (starter/basic/intermediate/higher/advanced/top).</t>
  </si>
  <si>
    <t>3.5 Savings &amp; Dividends</t>
  </si>
  <si>
    <t>Apply: Dividend allowance £500; Savings: Starting Rate (up to £5k if non‑savings income ≤ PA), then Personal Savings Allowance (£1,000/£500/£0 depending on taxpayer rate).</t>
  </si>
  <si>
    <t>3.6 Capital Gains (optional)</t>
  </si>
  <si>
    <t>Net CGT = (Gains − Losses current year − Losses brought forward − £3,000 AEA) × rate (10/20 or 18/24 for residential), interacting with income band placement.</t>
  </si>
  <si>
    <t>3.7 National Insurance (self‑employed)</t>
  </si>
  <si>
    <t>Class 4: apply main/additional rates to self‑employment profits above thresholds. Class 2: apply weekly flat rate if rules say payable, or mark voluntary if below threshold and user opts in.</t>
  </si>
  <si>
    <t>3.8 Student loans</t>
  </si>
  <si>
    <t>Repayment = max(0, Total income − plan threshold) × plan rate (Plan1/2/4: 9%; Postgrad: 6%). Show separately.</t>
  </si>
  <si>
    <t>3.9 Credits &amp; deductions already paid</t>
  </si>
  <si>
    <t>Less: PAYE tax deducted; CIS tax deducted at source; Trust tax deducted; Foreign tax credit (capped at UK tax due on that income).</t>
  </si>
  <si>
    <t>3.10 Payments on Account (POA)</t>
  </si>
  <si>
    <t>If last year’s SA liability &gt; £1,000 and &lt;80% collected via source → POA for current year = 50% + 50% of prior‑year liability (due 31 Jan and 31 Jul). Balance due each 31 Jan is: current‑year bill − POA paid + any capital gains/other exclusions.</t>
  </si>
  <si>
    <t>4) Daily &amp; Monthly Set‑Aside Targets</t>
  </si>
  <si>
    <t>Define:</t>
  </si>
  <si>
    <t>• E = Projected current‑year SA bill (Income Tax + NI + SL + CGT − credits).</t>
  </si>
  <si>
    <t>• P1, P2 = Payments on Account due (if applicable).</t>
  </si>
  <si>
    <t>• B_next = Balance due at the next deadline (31 Jan or 31 Jul), based on POA already paid.</t>
  </si>
  <si>
    <t>• D_rem = Number of days remaining to the next deadline.</t>
  </si>
  <si>
    <t>• M_rem = Number of whole months remaining to the next deadline.</t>
  </si>
  <si>
    <t>Formulas:</t>
  </si>
  <si>
    <t>• Daily set‑aside = B_next / D_rem</t>
  </si>
  <si>
    <t>• Monthly set‑aside (simple) = B_next / M_rem</t>
  </si>
  <si>
    <t>• Monthly set‑aside (buffered) = 1.1 × (B_next / M_rem)  (adds 10% contingency)</t>
  </si>
  <si>
    <t>• Tax Pot target today = (Days elapsed since last deadline) × Daily set‑aside</t>
  </si>
  <si>
    <t>5) Cash Sufficiency Check (traffic‑light)</t>
  </si>
  <si>
    <t>Inputs:</t>
  </si>
  <si>
    <t>• Cash_now = Sum of bank balances (business + designated tax pot).</t>
  </si>
  <si>
    <t>• Obligations_next = B_next.</t>
  </si>
  <si>
    <t>Logic:</t>
  </si>
  <si>
    <t>• Green: Cash_now ≥ 100% of pro‑rata target by today (Tax Pot target today).</t>
  </si>
  <si>
    <t>• Amber: Cash_now ≥ 70% of pro‑rata target; prompt to increase monthly set‑aside.</t>
  </si>
  <si>
    <t>• Red: Cash_now &lt; 70% of pro‑rata target; show shortfall and offer actions (reduce drawings, chase receivables, finance options).</t>
  </si>
  <si>
    <t>6) Pseudocode (engine)</t>
  </si>
  <si>
    <t>load_config_for_tax_year()</t>
  </si>
  <si>
    <t>jurisdiction = user.profile.jurisdiction  # rUK or Scotland</t>
  </si>
  <si>
    <t>bands = config.get_bands(jurisdiction)</t>
  </si>
  <si>
    <t>allowances = config.get_allowances()</t>
  </si>
  <si>
    <t># Build projected full-year by source</t>
  </si>
  <si>
    <t>ytd = ledger.build_ytd()</t>
  </si>
  <si>
    <t>forecast = forecast_engine.smoothed(ytd, recurring, seasonality)</t>
  </si>
  <si>
    <t>ani = forecast.total_income - forecast.gross_gift_aid - forecast.gross_pension</t>
  </si>
  <si>
    <t>pa = tapered_personal_allowance(ani)</t>
  </si>
  <si>
    <t>band_extension = forecast.gross_gift_aid + forecast.gross_pension</t>
  </si>
  <si>
    <t>taxable_income_banded = allocate_bands(forecast, pa, band_extension, bands, allowances)</t>
  </si>
  <si>
    <t>income_tax = calc_income_tax(taxable_income_banded)</t>
  </si>
  <si>
    <t>savings_tax = calc_savings_tax(forecast.savings, allowances, taxable_income_banded.position)</t>
  </si>
  <si>
    <t>div_tax = calc_dividend_tax(forecast.dividends, allowances, taxable_income_banded.position)</t>
  </si>
  <si>
    <t>cgt_tax = calc_cgt(forecast.cgt, forecast.cgt_losses, allowances)</t>
  </si>
  <si>
    <t>ni = calc_class4_and_class2(forecast.self_employed_profit, config.ni)</t>
  </si>
  <si>
    <t>student_loan = calc_student_loan(forecast.total_income, user.sl_plan)</t>
  </si>
  <si>
    <t>credits = forecast.paye_tax + forecast.cis_tax + forecast.trust_tax + cap_foreign_tax_credit(foreign_tax, uk_tax)</t>
  </si>
  <si>
    <t>E = income_tax + savings_tax + div_tax + cgt_tax + ni + student_loan - credits</t>
  </si>
  <si>
    <t>poa = compute_poa(last_year_liability, last_year_collected_via_source)</t>
  </si>
  <si>
    <t>B_next = balance_due_next_deadline(E, poa, already_paid)</t>
  </si>
  <si>
    <t>D_rem, M_rem = days_and_months_to_next_deadline(today)</t>
  </si>
  <si>
    <t>daily_set_aside = B_next / D_rem</t>
  </si>
  <si>
    <t>monthly_set_aside = 1.1 * (B_next / M_rem)  # buffered</t>
  </si>
  <si>
    <t>cash_now = bank.balance_all_accounts()</t>
  </si>
  <si>
    <t>target_today = daily_set_aside * days_since_last_deadline()</t>
  </si>
  <si>
    <t>status = traffic_light(cash_now, target_today)</t>
  </si>
  <si>
    <t>render_dashboard(E, B_next, daily_set_aside, monthly_set_aside, status)</t>
  </si>
  <si>
    <t>7) Worked Example (numbers)</t>
  </si>
  <si>
    <t>Assume rUK taxpayer. Forecast full‑year: Employment £25,000 (PAYE tax deducted £3,000); Self‑employment profit £40,000; Property profit £6,000; Savings interest £400; Dividends £1,200. Gift Aid (net) £800 → gross £1,000; Pension (net) £2,000 → gross £2,500; No losses b/f; SL Plan 2.</t>
  </si>
  <si>
    <t>Step A – ANI &amp; PA:</t>
  </si>
  <si>
    <t>• Total income before reliefs = 25,000 + 40,000 + 6,000 + 400 + 1,200 = £72,600</t>
  </si>
  <si>
    <t>• ANI = 72,600 − 1,000 − 2,500 = £69,100 → below £100k → PA = £12,570</t>
  </si>
  <si>
    <t>• Band extension = 1,000 + 2,500 = £3,500 added to basic/higher bands</t>
  </si>
  <si>
    <t>Step B – Taxes (illustrative):</t>
  </si>
  <si>
    <t>• Income tax on non‑savings/dividend income at rUK bands; apply PSA (likely £1,000) and dividend allowance £500; compute dividend/savings at appropriate rates.</t>
  </si>
  <si>
    <t>• NI: Class 4 on £40,000 SE profit (main/additional bands) + Class 2 if applicable/voluntary per config;</t>
  </si>
  <si>
    <t>• Student loan: (72,600 − 27,295) × 9% = £4,086.45 (illustrative plan thresholds).</t>
  </si>
  <si>
    <t>• Credits: subtract £3,000 PAYE, plus any CIS if present.</t>
  </si>
  <si>
    <t>• Result → Projected SA bill E (example figure based on current thresholds).</t>
  </si>
  <si>
    <t>Step C – Set‑aside:</t>
  </si>
  <si>
    <t>• Suppose next deadline is 31 Jan and today is 1 Oct → D_rem ≈ 122 days; M_rem = 4 months</t>
  </si>
  <si>
    <t>• If E (balance due next) = £6,100 → Daily set‑aside ≈ £6,100 / 122 = £50/day</t>
  </si>
  <si>
    <t>• Monthly buffered set‑aside = 1.1 × (6,100 / 4) = £1,678/month</t>
  </si>
  <si>
    <t>Step D – Cash sufficiency:</t>
  </si>
  <si>
    <t>• Tax Pot today target since 31 Jul (say 62 days) = 62 × £50 = £3,100</t>
  </si>
  <si>
    <t>• If Cash_now in Tax Pot = £2,600 → Status = Amber (at 84% of target); prompt to raise monthly set‑aside to close gap.</t>
  </si>
  <si>
    <t>8) Edge Cases &amp; Flags</t>
  </si>
  <si>
    <t>• ANI &gt; £100k → PA taper; band extension can protect PA by lowering ANI.</t>
  </si>
  <si>
    <t>• CIS receipts: estimate CIS withheld from net receipts (20% registered / 30% unregistered); treat as credit against E.</t>
  </si>
  <si>
    <t>• Loss relief choices: same‑year vs carry‑back vs carry‑forward change E materially—surface recommendation cards.</t>
  </si>
  <si>
    <t>• Scotland bands: switch to Scottish rates for non‑savings/dividend income; dividends/savings remain UK‑wide rules.</t>
  </si>
  <si>
    <t>• Rent‑a‑room/property/trading allowances: use higher of allowance or actual expenses per your rules.</t>
  </si>
  <si>
    <t>• Capital gains: large one‑offs can spike Jan payment; show separate CGT set‑aside channel when detected.</t>
  </si>
  <si>
    <t>• Payments on Account: if prior‑year bill was small or 80%+ collected via PAYE, POA may not apply—simplifies B_next.</t>
  </si>
  <si>
    <t>• NI policy changes: keep thresholds/rates in config to avoid hard‑coding; show voluntary Class 2 toggle when eligible.</t>
  </si>
  <si>
    <t>9) Dashboard Outputs (what the user sees)</t>
  </si>
  <si>
    <t>• Projected Year‑End SA bill (E) and breakdown (Tax, NI, Student Loan, CGT, credits).</t>
  </si>
  <si>
    <t>• Next deadline card: date, amount (B_next), and countdown.</t>
  </si>
  <si>
    <t>• Daily set‑aside and Monthly set‑aside (buffered). ‘One‑tap move to Tax Pot’ action.</t>
  </si>
  <si>
    <t>• Cash sufficiency status (Green/Amber/Red) with shortfall and tips.</t>
  </si>
  <si>
    <t>• What changed since yesterday: deltas from new transactions, category changes, gift aid/pension updates.</t>
  </si>
  <si>
    <t>Next deadline: 31 Jan</t>
  </si>
  <si>
    <t>Daily Tax – rUK vs Scotland Worked Examples (IntelliBooks, Sole Trader)</t>
  </si>
  <si>
    <t>Two parallel, step-by-step examples using the same income profile. The only difference is the non‑savings income tax bands: rUK vs Scotland. Everything else (savings/dividends rules, PAYE credits, NI, buffer logic) is identical.</t>
  </si>
  <si>
    <t>Common Context &amp; Timing</t>
  </si>
  <si>
    <t>Today: 1 Oct  |  Next deadline: 31 Jan  |  Days since 6 Apr: ~178  |  Days to deadline: 122  |  Months remaining: 5</t>
  </si>
  <si>
    <t>Assumptions shared by both examples: no Gift Aid or Pension relief; no student loan; no losses; no POA this year.</t>
  </si>
  <si>
    <t>Step 1 – YTD &amp; Annualisation Factor (AF)</t>
  </si>
  <si>
    <t>YTD inputs (from Open Banking/HMRC):</t>
  </si>
  <si>
    <t>• Self‑employment profit YTD: £19,500 (turnover − allowable expenses − capital allowances)</t>
  </si>
  <si>
    <t>• PAYE salary YTD: £18,000; PAYE tax deducted YTD: £2,100</t>
  </si>
  <si>
    <t>• Savings interest YTD: £300  |  Dividends YTD: £600</t>
  </si>
  <si>
    <t>AF (safe annualise): AF = 365 / 178 ≈ 2.05 (clamped ≤ 2.5)</t>
  </si>
  <si>
    <t>Step 2 – Project to Year‑End (per source)</t>
  </si>
  <si>
    <t>• SE profit̂ = £19,500 × 2.05 ≈ £39,975</t>
  </si>
  <si>
    <t>• PAYE grosŝ = £18,000 × 2.05 ≈ £36,900  (project PAYE tax credit similarly ≈ £4,200)</t>
  </si>
  <si>
    <t>• Savingŝ ≈ £615  |  Dividendŝ ≈ £1,230</t>
  </si>
  <si>
    <t>Total projected taxable income ≈ £39,975 + £36,900 + £615 + £1,230 = £78,720</t>
  </si>
  <si>
    <t>Step 3 – Reliefs, ANI &amp; Personal Allowance</t>
  </si>
  <si>
    <t>• No Gift Aid/Pension relief this example → ANI = £78,720  → below £100k → full PA = £12,570</t>
  </si>
  <si>
    <t>• Band extension = £0 (no band widening)</t>
  </si>
  <si>
    <t>Example A — rUK Taxpayer (Non‑Savings Bands: rUK)</t>
  </si>
  <si>
    <t>Apply rUK non‑savings bands to (SE + PAYE) after PA; UK‑wide rules for savings/dividends.</t>
  </si>
  <si>
    <t>Illustrative component outputs from the engine (config‑driven):</t>
  </si>
  <si>
    <t>• Income Tax (rUK non‑savings): £10,900</t>
  </si>
  <si>
    <t>• Savings tax: £0 (PSA expected to cover)</t>
  </si>
  <si>
    <t>• Dividend tax: £120 (after £500 allowance)</t>
  </si>
  <si>
    <t>• NI (Class 4/2 on SE profits): £1,100</t>
  </si>
  <si>
    <t>• Student Loan: £0</t>
  </si>
  <si>
    <t>Credits: PAYE tax credit (projected) = £4,200</t>
  </si>
  <si>
    <t>→ Projected SA bill E_proj = 10,900 + 0 + 120 + 1,100 − 4,200 = £7,920</t>
  </si>
  <si>
    <t>Payments on Account: assumed not due (prior SA below trigger). → POA next = £0; Balancing next = £7,920</t>
  </si>
  <si>
    <t>B_next = £7,920</t>
  </si>
  <si>
    <t>Buffer (days elapsed ~178 → UB% = 10%): B_buffered = £7,920 × 1.10 = £8,712</t>
  </si>
  <si>
    <t>Monthly set‑aside = ceil(£8,712 / 5) = £1,743</t>
  </si>
  <si>
    <t>Daily set‑aside   = £8,712 / 122 ≈ £71.42</t>
  </si>
  <si>
    <t>Example B — Scotland Taxpayer (Non‑Savings Bands: Scotland)</t>
  </si>
  <si>
    <t>Apply **Scottish** non‑savings bands to (SE + PAYE) after PA; UK‑wide rules for savings/dividends.</t>
  </si>
  <si>
    <t>• Income Tax (Scottish non‑savings): £11,800</t>
  </si>
  <si>
    <t>→ Projected SA bill E_proj = 11,800 + 0 + 120 + 1,100 − 4,200 = £8,820</t>
  </si>
  <si>
    <t>Payments on Account: assumed not due (prior SA below trigger). → POA next = £0; Balancing next = £8,820</t>
  </si>
  <si>
    <t>B_next = £8,820</t>
  </si>
  <si>
    <t>Buffer (days elapsed ~178 → UB% = 10%): B_buffered = £8,820 × 1.10 = £9,702</t>
  </si>
  <si>
    <t>Monthly set‑aside = ceil(£9,702 / 5) = £1,941</t>
  </si>
  <si>
    <t>Daily set‑aside   = £9,702 / 122 ≈ £79.53</t>
  </si>
  <si>
    <t>Side‑by‑Side Comparison (Why they differ)</t>
  </si>
  <si>
    <t>• Same income profile; same credits/NI; **only the non‑savings band set differs**.</t>
  </si>
  <si>
    <t>• Result: Scottish non‑savings tax is higher in this example → higher E_proj, B_next, and buffered set‑aside.</t>
  </si>
  <si>
    <t>• Savings/dividends rules are UK‑wide in both cases; PAYE credit operates the same way.</t>
  </si>
  <si>
    <t>Payments on Account rules - Applies to all UK</t>
  </si>
  <si>
    <t>Payments on Account – Simple Rule (Self Assessment, Sole Trader)</t>
  </si>
  <si>
    <t>A one‑page guide you can show users and wire into IntelliBooks. It explains when Payments on Account (POA) apply, what they include, how to calculate them, due dates, and common edge cases.</t>
  </si>
  <si>
    <t>1) The Simple Rule (both tests must be true)</t>
  </si>
  <si>
    <t>POA apply if, for the last filed tax year:</t>
  </si>
  <si>
    <t>• Test A: Income Tax + Class 4 NIC due was **more than £1,000**.</t>
  </si>
  <si>
    <t>If either test fails → **no POA**.</t>
  </si>
  <si>
    <t>2) What POA cover (and exclude)</t>
  </si>
  <si>
    <t>• They cover: **Income Tax** and **Class 4 National Insurance** only.</t>
  </si>
  <si>
    <t>• Test B: **Less than 80%** of your total tax was collected at source (e.g., via PAYE or CIS).</t>
  </si>
  <si>
    <t>3) Amount &amp; Timing</t>
  </si>
  <si>
    <t>• Amount: two instalments, each **50% of last year’s bill** (Income Tax + Class 4 only).</t>
  </si>
  <si>
    <t>• Due dates:</t>
  </si>
  <si>
    <t> – **31 January** in the tax year (first POA).</t>
  </si>
  <si>
    <t> – **31 July** after the tax year (second POA).</t>
  </si>
  <si>
    <t>• **Balancing payment**: on the following **31 January**, you pay this year’s final bill **minus** the two POAs already paid.</t>
  </si>
  <si>
    <t>4) How IntelliBooks decides &amp; shows POA</t>
  </si>
  <si>
    <t>• Computes last year’s ‘POA‑qualifying bill’ = Income Tax + Class 4 NIC (excludes CGT/SL/Class 2).</t>
  </si>
  <si>
    <t>• Calculates ‘% collected at source’ from PAYE etc.</t>
  </si>
  <si>
    <t>• If both tests pass → shows first/second POA and builds them into the next‑deadline balance (B_next).</t>
  </si>
  <si>
    <t>• If user expects lower profits, provides **Reduce POA** option with risk/interest warning.</t>
  </si>
  <si>
    <t>5) Quick Examples</t>
  </si>
  <si>
    <t>Example 1 – POA applies</t>
  </si>
  <si>
    <t>• Last year Income Tax + Class 4 = £2,400; collected at source = 20% → Tests A &amp; B pass.</t>
  </si>
  <si>
    <t>• POA due: £1,200 on 31 Jan and £1,200 on 31 Jul.</t>
  </si>
  <si>
    <t>• If this year’s final bill is £2,900, then next 31 Jan balancing = £2,900 − £2,400 = £500.</t>
  </si>
  <si>
    <t>Example 2 – Under £1,000 → no POA</t>
  </si>
  <si>
    <t>• Last year Income Tax + Class 4 = £900 → Test A fails → No POA.</t>
  </si>
  <si>
    <t>Example 3 – &gt;£1,000 but 80%+ at source → no POA</t>
  </si>
  <si>
    <t>• Last year Income Tax + Class 4 = £1,500; 85% collected via PAYE → Test B fails → No POA.</t>
  </si>
  <si>
    <t>Example 4 – Claim to reduce</t>
  </si>
  <si>
    <t>• Last year bill £3,000 → default POA £1,500/£1,500.</t>
  </si>
  <si>
    <t>• You expect a much lower year and claim to reduce to £800/£800.</t>
  </si>
  <si>
    <t>• If you reduce too far, HMRC charges **interest** on the shortfall from each due date.</t>
  </si>
  <si>
    <t>Take Income tax and Class 4 NI, and divide by two if daily tax calculation forecasts says this total will be more than £1k.</t>
  </si>
  <si>
    <t>If self assessment plus NI is &gt;1k - then POA (check Rates for tax calculation tab for how to calculate)</t>
  </si>
  <si>
    <t>HR Platforms</t>
  </si>
  <si>
    <t>BrightHR</t>
  </si>
  <si>
    <t>Salaries</t>
  </si>
  <si>
    <t>Sage HR</t>
  </si>
  <si>
    <t>CharlieHR</t>
  </si>
  <si>
    <t>TalentHR</t>
  </si>
  <si>
    <t>BreatheHR</t>
  </si>
  <si>
    <t>Employment Hero</t>
  </si>
  <si>
    <t>HiBob</t>
  </si>
  <si>
    <t>Accounting Platforms</t>
  </si>
  <si>
    <t>Quickbooks</t>
  </si>
  <si>
    <t>Accounting Fees</t>
  </si>
  <si>
    <t>FreeAgent</t>
  </si>
  <si>
    <t>Xero</t>
  </si>
  <si>
    <t>Sage Accounting</t>
  </si>
  <si>
    <t>Zoho Books</t>
  </si>
  <si>
    <t>Crunch</t>
  </si>
  <si>
    <t>Freshbooks</t>
  </si>
  <si>
    <t>Legal Platforms</t>
  </si>
  <si>
    <t>Rocket Lawyer</t>
  </si>
  <si>
    <t>Lexoo</t>
  </si>
  <si>
    <t>QualitySolicitors</t>
  </si>
  <si>
    <t>LawBite</t>
  </si>
  <si>
    <t>Federation of Small Businesses (FSB)</t>
  </si>
  <si>
    <t>Garfield AI</t>
  </si>
  <si>
    <t>HR Fees</t>
  </si>
  <si>
    <t>*Based on merchant or ML</t>
  </si>
  <si>
    <t>Deduct from expenses (Check for expense being over £1k) - If over £1K, likely to be Salary PAID ,which is allowable, - ALSO CHECK IF SALARY IS BEING SENT TO PARTNER (IF RECIPIENT NAME MATCHES partner name in any way, take this as drawings and change the share allocation {Check drawings calculations tab})</t>
  </si>
  <si>
    <t>*Based on name match to partner</t>
  </si>
  <si>
    <t>Capital</t>
  </si>
  <si>
    <t>Just adjust in Balance Sheet</t>
  </si>
  <si>
    <t>Loss = If allowable expenses and capital allowances supersedes the taxable income made in that tax year</t>
  </si>
  <si>
    <t>IB must use the below scenarios to give the bext tax saving relief.</t>
  </si>
  <si>
    <t>User can use this relief if… (eligibility)</t>
  </si>
  <si>
    <t>IB automation &amp; evidence (what to check/ask)</t>
  </si>
  <si>
    <t>Claim window (guide)</t>
  </si>
  <si>
    <t>• The loss arose in one of the **first four tax years** of the trade.
• The trade is run **commercially with a view to profit** (not a hobby).
• Relief set **against total income of the 3 years before the loss year**, **earliest year first**.
• Subject to the **Income Tax reliefs cap**; non‑active restrictions do not usually apply to sole traders.</t>
  </si>
  <si>
    <t>• Confirm **trade start date** and loss year.
• Pull **prior 3 years’ income** from HMRC or ask for SA100s/P60s.
• Flag if ANI relief‑cap may bite; show estimated cap.
• Ensure no duplicate claims already made for the same loss.</t>
  </si>
  <si>
    <t>Claim within HMRC time limits (typically by 31 Jan two years after the loss year’s end).</t>
  </si>
  <si>
    <t>• The trade **ceased permanently** in the year, and a **terminal loss** exists (loss in the **final 12 months** plus allowable adjustments).
• May be **carried back 3 years** **against profits of the same trade**, **latest year first**.</t>
  </si>
  <si>
    <t>• Capture **cessation date** and final period accounts.
• Confirm there is no intention to resume (avoid temporary pause).
• Retrieve **last 3 years’ trading profits** of the same trade.
• Compute the statutory **terminal‑loss figure** from the last 12 months.</t>
  </si>
  <si>
    <t>Within HMRC claim limits following the cessation tax year (IB to track &amp; alert).</t>
  </si>
  <si>
    <t>• There is an **unused trading loss** and the user **doesn’t** claim sideways/carry‑back.
• Loss will be set **against the next profits of the same trade** (mandatory use when profits arise, unless a valid restriction applies).</t>
  </si>
  <si>
    <t>• Maintain a **loss pool** per trade.
• On next profit: **auto‑apply** against that trade before other reliefs.
• Persist evidence: final computation of original loss and any partial uses.</t>
  </si>
  <si>
    <t>No separate claim needed once recorded; ensure loss notified within normal time limits.</t>
  </si>
  <si>
    <t>• A **commercial trading loss** arose this year.
• User wants to **reduce total income this year** (employment, pensions, savings, etc.).
• Subject to **reliefs cap** and **non‑active/LLP ‘at‑risk’** restrictions where relevant.</t>
  </si>
  <si>
    <t>• Check **commercial purpose** declaration.
• Pull **other‑income totals** for the year.
• Apply **reliefs cap** simulation (greater of £50k or 25% ANI).
• For partners: check **non‑active/at‑risk** status before allowing sideways relief.</t>
  </si>
  <si>
    <t>Claim by normal time limit for the loss year (IB shows deadline and drafts claim wording).</t>
  </si>
  <si>
    <t>• A **commercial trading loss** arose in the current year.
• User wants to **relieve against last year’s total income** (often to trigger a **repayment**).
• Subject to **reliefs cap**; must be within the carry‑back rules for timing.</t>
  </si>
  <si>
    <t>• Check last year’s return status: filed? within **amendment window**?
• Retrieve last year’s **total income and tax paid** from HMRC.
• Simulate same‑year vs carry‑back to show **best tax outcome**.</t>
  </si>
  <si>
    <t>Claim within the normal time limit for the loss year; amend prior year if still in window.</t>
  </si>
  <si>
    <t>• User has **chargeable gains** this year and also **capital losses** this year or brought forward.
• **Losses must be set** against gains **before** the Annual Exempt Amount; cannot preserve AEA by restricting losses.</t>
  </si>
  <si>
    <t>• Collect **disposal computations** (proceeds, cost, incidental costs).
• Compute **net gains** after offset; then apply **AEA**.
• Store any **unused losses** for carry‑forward.</t>
  </si>
  <si>
    <t>Report capital losses within HMRC time limits to establish them (normally up to 4 years after the tax year).</t>
  </si>
  <si>
    <t>• There are **no gains** this year (or not enough to absorb losses).
• Unused capital losses are **carried forward** to future gains (no carry‑back except special cases like death/estate).</t>
  </si>
  <si>
    <t>• Record the **loss figure** and the **year** it arose.
• On future gains, IB **auto‑offsets** carried‑forward losses first, then applies AEA.</t>
  </si>
  <si>
    <t>Report capital losses within HMRC time limits to establish them (normally up to 4 years after the tax year).
Loss must be **claimed/registered** within HMRC time limits (typically up to 4 years).</t>
  </si>
  <si>
    <t>The greater of £50,000 or 25% of your Adjusted total income (ATI) for that year</t>
  </si>
  <si>
    <t>Income Tax Cap?</t>
  </si>
  <si>
    <t>No</t>
  </si>
  <si>
    <t>How does the rule work?</t>
  </si>
  <si>
    <t>1) What ATI is used for</t>
  </si>
  <si>
    <t>HMRC caps some reliefs that are set against total income (e.g., sideways loss relief). The annual cap per person is:</t>
  </si>
  <si>
    <t>Cap = max(£50,000, 25% × ATI).</t>
  </si>
  <si>
    <t>ATI is only needed if total income may exceed ~£200,000; otherwise the cap defaults to £50,000.</t>
  </si>
  <si>
    <t>2) Simple ATI formula (for the reliefs cap)</t>
  </si>
  <si>
    <t>Start with total taxable income before Personal Allowance, then adjust as follows:</t>
  </si>
  <si>
    <t>ATI = Total income (pre‑PA)</t>
  </si>
  <si>
    <t xml:space="preserve">      − gross personal pension contributions where relief is given at source (net×100/80)</t>
  </si>
  <si>
    <t xml:space="preserve">      − retirement annuity payments</t>
  </si>
  <si>
    <t xml:space="preserve">      + Payroll Giving deducted from pay (if any)</t>
  </si>
  <si>
    <t xml:space="preserve">      + nominated foreign income used to compute a Remittance Basis Charge (if applicable)</t>
  </si>
  <si>
    <t>Notes:</t>
  </si>
  <si>
    <t>• Do NOT subtract Gift Aid when computing ATI (Gift Aid affects Adjusted Net Income and band widening, not ATI).</t>
  </si>
  <si>
    <t>• Exclude capital gains entirely — ATI is an Income Tax concept only.</t>
  </si>
  <si>
    <t>3) Reliefs affected by the cap</t>
  </si>
  <si>
    <t>Capped (most common you’ll use):</t>
  </si>
  <si>
    <t>• Sideways trading loss relief (current year set against total income).</t>
  </si>
  <si>
    <t>• Carry‑back trading loss relief to the previous year.</t>
  </si>
  <si>
    <t>• Early‑years loss relief (first 4 years of trade; carried back up to 3 years).</t>
  </si>
  <si>
    <t>• Certain post‑cessation reliefs, qualifying loan interest, and some share loss relief claims.</t>
  </si>
  <si>
    <t>Not capped:</t>
  </si>
  <si>
    <t>• Carry‑forward trading losses against future profits of the same trade.</t>
  </si>
  <si>
    <t>• Capital losses (CGT regime).</t>
  </si>
  <si>
    <t>• Pension contributions (Relief‑at‑Source) and Gift Aid donations themselves.</t>
  </si>
  <si>
    <t>4) IntelliBooks application steps</t>
  </si>
  <si>
    <t>1) Compute ATI using the formula above.</t>
  </si>
  <si>
    <t>2) Compute Cap = max(£50,000, 25% × ATI).</t>
  </si>
  <si>
    <t>3) Sum all reliefs that are within the cap this year (e.g., sideways/early‑years/carry‑back losses).</t>
  </si>
  <si>
    <t>4) Allow up to the cap now; any excess trading loss → carry‑forward pool (or consider carry‑back if still in time).</t>
  </si>
  <si>
    <t>5) Worked Example — Sole Trader</t>
  </si>
  <si>
    <t>Facts (2024/25):</t>
  </si>
  <si>
    <t>• Trading profit (SA103): £72,000; Bank interest: £800; Dividends: £2,000.</t>
  </si>
  <si>
    <t>• Personal pension (Relief‑at‑Source): £4,000 net (gross £5,000).</t>
  </si>
  <si>
    <t>• Payroll Giving deducted by employer: £600.</t>
  </si>
  <si>
    <t>• Gift Aid donations: £800 net (gross £1,000) — ignore for ATI (but affects ANI/bands).</t>
  </si>
  <si>
    <t>• Current‑year trading loss from a separate sole trade: £70,000 (wants sideways relief).</t>
  </si>
  <si>
    <t>Step 1: Total income (pre‑PA) = 72,000 + 800 + 2,000 = £74,800.</t>
  </si>
  <si>
    <t>Step 2: ATI = 74,800 − 5,000 + 600 = £70,400.</t>
  </si>
  <si>
    <t>Step 3: Cap = max(£50,000, 25%×70,400 = £17,600) = £50,000.</t>
  </si>
  <si>
    <t>Step 4: Capped reliefs this year = £70,000 sideways loss ⇒ Allowed now = £50,000.</t>
  </si>
  <si>
    <t>Step 5: £20,000 of the loss remains → carry forward against future profits of that trade (or consider carry‑back).</t>
  </si>
  <si>
    <t>CAP=</t>
  </si>
  <si>
    <t>Contribution gross up by 20% then deduct from income (IF PENSION IS APPROVED IN THE UK) SEE LIST OF PENSION PROVIDERS PAGE</t>
  </si>
  <si>
    <t>So Income tax/Dividend bands and savings bands widen and ANI will fall by the gross amount</t>
  </si>
  <si>
    <t>If no deduction PULLED FROM HMRC and user has specified that they pay this, then use below as a default.</t>
  </si>
  <si>
    <t>If contractor pays CIS at source, and says "Yes to this", IB must use the individuals NI Number and pull CIS data from HMRC API and what has been paid in the tax year - Really if this is detected after login to the HMRC then we apply these rules automatically (Just deduct from tax liability)</t>
  </si>
  <si>
    <t>If paid monthly, we should see this amount monthly.</t>
  </si>
  <si>
    <t xml:space="preserve">Drawings </t>
  </si>
  <si>
    <t>N/A - Take original capital figure from bank transaction if brand new (i.e fuzzy matching on PAYER'S name to OWNERS NAME IF BIG BANK AMOUNT check surname, forename) - But if coming from another system use TB amount showing for "DRAWINGS" - Adjustments made check any amounts going to any named partner and adjust accordingly.</t>
  </si>
  <si>
    <t>Trigger for AI:</t>
  </si>
  <si>
    <t>If deductions or CIS are pulled from HMRC - then registered and we deduct as a relief on the inidividual's tax liability. But if user states CIS deductions and no evidence on HMRC as not registered, use the 30% rule and ask the user for evidence of this dedcution to reduce their tax liability.</t>
  </si>
  <si>
    <t>If User wants to claim this, but bank transations says otherwise -&gt; ask then for evidence such as flight tickets</t>
  </si>
  <si>
    <t>Relief / Scheme</t>
  </si>
  <si>
    <t>Tax Effect</t>
  </si>
  <si>
    <t>HMRC API Field</t>
  </si>
  <si>
    <t>API Section (Submission Context)</t>
  </si>
  <si>
    <t>Trigger in IntelliBooks</t>
  </si>
  <si>
    <t>Bank Transaction Clues</t>
  </si>
  <si>
    <t>IntelliBooks Categorisation</t>
  </si>
  <si>
    <t>User Prompt</t>
  </si>
  <si>
    <t>API Section Mapping</t>
  </si>
  <si>
    <t>Enterprise Investment Scheme (EIS)</t>
  </si>
  <si>
    <t>30% income tax relief on qualifying investments</t>
  </si>
  <si>
    <t>reliefs.eisRelief</t>
  </si>
  <si>
    <t>individual-reliefs</t>
  </si>
  <si>
    <t>Ask: 'Did you invest under the Enterprise Investment Scheme?'</t>
  </si>
  <si>
    <t>Can carry back 1 year; capped at £1m ordinary, £2m KIC.</t>
  </si>
  <si>
    <t>Transaction ref contains 'EIS Share Issue', broker name</t>
  </si>
  <si>
    <t>Investment</t>
  </si>
  <si>
    <t>We detected an investment. Was this an EIS qualifying investment?</t>
  </si>
  <si>
    <t>individual-reliefs → reliefs.eisRelief</t>
  </si>
  <si>
    <t>Seed Enterprise Investment Scheme (SEIS)</t>
  </si>
  <si>
    <t>50% relief on qualifying investments</t>
  </si>
  <si>
    <t>reliefs.seisRelief</t>
  </si>
  <si>
    <t>Ask: 'Did you invest under the SEIS scheme?'</t>
  </si>
  <si>
    <t>Max £100k per year; can carry back.</t>
  </si>
  <si>
    <t>Venture Capital Trust (VCT)</t>
  </si>
  <si>
    <t>30% relief on new VCT subscriptions</t>
  </si>
  <si>
    <t>reliefs.vctSubscriptions</t>
  </si>
  <si>
    <t>Ask: 'Did you subscribe to new shares in a Venture Capital Trust?'</t>
  </si>
  <si>
    <t>Up to £200k per year.</t>
  </si>
  <si>
    <t>Community Investment Tax Relief (CITR)</t>
  </si>
  <si>
    <t>5% of investment each year for 5 years</t>
  </si>
  <si>
    <t>reliefs.communityInvestment</t>
  </si>
  <si>
    <t>Ask: 'Did you invest in a Community Development Finance Institution?'</t>
  </si>
  <si>
    <t>Must have accredited CITR certificate.</t>
  </si>
  <si>
    <t>Qualifying Loan Interest</t>
  </si>
  <si>
    <t>Relief for interest paid on qualifying loans</t>
  </si>
  <si>
    <t>reliefs.loanInterest</t>
  </si>
  <si>
    <t>Ask: 'Did you pay interest on qualifying loans (e.g. to invest in a partnership)?'</t>
  </si>
  <si>
    <t>Includes loans for partnerships, co-ownership trusts, close companies.</t>
  </si>
  <si>
    <t>Maintenance Payments Relief</t>
  </si>
  <si>
    <t>Relief for certain pre-1989 divorce settlements</t>
  </si>
  <si>
    <t>reliefs.maintenancePayments</t>
  </si>
  <si>
    <t>Ask: 'Did you make legally required maintenance payments?'</t>
  </si>
  <si>
    <t>Applies only if court order and recipient born pre-1935.</t>
  </si>
  <si>
    <t>Deficiency Relief</t>
  </si>
  <si>
    <t>Relief for life assurance policy deficiencies</t>
  </si>
  <si>
    <t>reliefs.deficiencyRelief</t>
  </si>
  <si>
    <t>Ask: 'Do you have deficiency relief to claim on life assurance policies?'</t>
  </si>
  <si>
    <t>Rare; reduces taxable income on chargeable event gains.</t>
  </si>
  <si>
    <t>CIS Relief</t>
  </si>
  <si>
    <t>Donation gross up by 25% then deduct from income (IF on the Charity approved list) SEE LIST OF popular charities in the UK</t>
  </si>
  <si>
    <t>CIS Prompts:</t>
  </si>
  <si>
    <t>If "Trades and Construction" industry chosen, then IB will ask:</t>
  </si>
  <si>
    <t>If this industry is chosen AND are deductions shown on the HMRC API then they are registered.</t>
  </si>
  <si>
    <t>Prompt Question to user:</t>
  </si>
  <si>
    <t>If N/A</t>
  </si>
  <si>
    <t>Nothing to do with tax, cannot add or subtract. Leave it out of calculations completely for tax</t>
  </si>
  <si>
    <t>Deduct from total taxable income</t>
  </si>
  <si>
    <t>Dissallowable</t>
  </si>
  <si>
    <t>Allowable/Dissallowable</t>
  </si>
  <si>
    <t>Blind Persons Allowance</t>
  </si>
  <si>
    <t>1. Purpose</t>
  </si>
  <si>
    <t>Blind Person’s Allowance (BPA) gives an additional personal allowance to individuals registered as blind (or severely sight-impaired) with their local authority, or receiving certain certifications.</t>
  </si>
  <si>
    <t>For 2025/26, BPA = £3,070 (added on top of Personal Allowance).</t>
  </si>
  <si>
    <t>2. Input Fields</t>
  </si>
  <si>
    <t>- Taxpayer eligibility (registered blind/severely sight impaired).</t>
  </si>
  <si>
    <t>- Carry-over status (transfer of unused BPA to spouse/civil partner).</t>
  </si>
  <si>
    <t>- Personal Allowance already applied.</t>
  </si>
  <si>
    <t>Sources: Manual entry (user declaration), HMRC API historical data (AI flag if claimed previously).</t>
  </si>
  <si>
    <t>3. AI/ML Detection &amp; Proof Flag</t>
  </si>
  <si>
    <t>AI Flag: IntelliBooks checks HMRC API for “blindPersonsAllowanceReliefClaim”.</t>
  </si>
  <si>
    <t>If TRUE → auto-apply BPA for current year unless user opts out.</t>
  </si>
  <si>
    <t>If FALSE → IntelliBooks prompts user: 'Are you registered blind or severely sight-impaired? You may be entitled to Blind Person’s Allowance (£3,070 this year).'</t>
  </si>
  <si>
    <t>4. Calculation Rules</t>
  </si>
  <si>
    <t>Base Case (single taxpayer):</t>
  </si>
  <si>
    <t>Total Personal Allowance = Standard PA (£12,570) + BPA (£3,070) = £15,640</t>
  </si>
  <si>
    <t>Income Tax Calculation Flow:</t>
  </si>
  <si>
    <t>1. Check Adjusted Net Income (ANI).</t>
  </si>
  <si>
    <t>2. Apply Personal Allowance (PA).</t>
  </si>
  <si>
    <t>3. Add BPA if eligible.</t>
  </si>
  <si>
    <t>4. Apply tapering if ANI &gt; £100,000.</t>
  </si>
  <si>
    <t>Tapering Formula:</t>
  </si>
  <si>
    <t>Reduced BPA = max(0, £3,070 - (ANI - 100,000)/2).</t>
  </si>
  <si>
    <t>5. Transfer of Unused BPA</t>
  </si>
  <si>
    <t>If the blind taxpayer cannot use BPA fully (because taxable income &lt; allowance), unused amount can be transferred to spouse/civil partner.</t>
  </si>
  <si>
    <t>HMRC API section: "blindPersonsAllowanceTransfer".</t>
  </si>
  <si>
    <t>6. Allowable vs Disallowable</t>
  </si>
  <si>
    <t>- Allowable: Full £3,070 if conditions met.</t>
  </si>
  <si>
    <t>- Disallowable: Cannot claim if not registered, or if HMRC API flag absent and no user confirmation.</t>
  </si>
  <si>
    <t>7. Worked Example – Basic</t>
  </si>
  <si>
    <t>Taxpayer A earns £20,000, eligible for BPA.</t>
  </si>
  <si>
    <t>Standard PA: £12,570</t>
  </si>
  <si>
    <t>BPA: £3,070</t>
  </si>
  <si>
    <t>Total Allowance: £15,640</t>
  </si>
  <si>
    <t>Taxable Income: £20,000 – £15,640 = £4,360</t>
  </si>
  <si>
    <t>Income Tax: £4,360 × 20% = £872</t>
  </si>
  <si>
    <t>8. Worked Example – Tapered (ANI &gt; £100k)</t>
  </si>
  <si>
    <t>Taxpayer B earns £102,000, eligible for BPA.</t>
  </si>
  <si>
    <t>Step 1: ANI = £102,000 → £2,000 over £100k → Reduction = £1,000</t>
  </si>
  <si>
    <t>Step 2: Standard PA = £12,570 – £1,000 = £11,570; BPA = £3,070 – £1,000 = £2,070; Total = £13,640</t>
  </si>
  <si>
    <t>Step 3: Taxable Income = £102,000 – £13,640 = £88,360</t>
  </si>
  <si>
    <t>9. HMRC API Mapping</t>
  </si>
  <si>
    <t>Section: reliefs</t>
  </si>
  <si>
    <t>Fields:</t>
  </si>
  <si>
    <t>- "blindPersonsAllowanceReliefClaim": true/false</t>
  </si>
  <si>
    <t>- "blindPersonsAllowanceTransfer": { amount, partnerNINO, partnerUTR }</t>
  </si>
  <si>
    <t>Everything here needs to be calculated so use relevant rules - We need to do this so the user knows how much to put away per month.</t>
  </si>
  <si>
    <t>This is how we would send to HMRC</t>
  </si>
  <si>
    <t>Claim at Individual Level?</t>
  </si>
  <si>
    <t>We detected an investment. Was this a SEIS qualifying investment?</t>
  </si>
  <si>
    <t>Transaction ref contains 'SEIS Subscription'</t>
  </si>
  <si>
    <t>individual-reliefs → reliefs.seisRelief</t>
  </si>
  <si>
    <t>Was this a qualifying VCT investment?</t>
  </si>
  <si>
    <t>Transaction ref: 'VCT Shares', broker statement</t>
  </si>
  <si>
    <t>individual-reliefs → reliefs.vctSubscriptions</t>
  </si>
  <si>
    <t>Was this payment into a Community Investment scheme (CITR)?</t>
  </si>
  <si>
    <t>Merchant: Community Bank, CDFI Ltd</t>
  </si>
  <si>
    <t>individual-reliefs → reliefs.communityInvestment</t>
  </si>
  <si>
    <t>You paid loan interest. Was this a qualifying investment loan?</t>
  </si>
  <si>
    <t>Ref: 'Loan Repayment HSBC', 'Interest Payment Barclays'</t>
  </si>
  <si>
    <t>individual-reliefs → reliefs.loanInterest</t>
  </si>
  <si>
    <t>Is this a legally required maintenance payment under pre-1989 rules?</t>
  </si>
  <si>
    <t>Ref: 'Court Order Payment', 'CSA/Child Support'</t>
  </si>
  <si>
    <t>individual-reliefs → reliefs.maintenancePayments</t>
  </si>
  <si>
    <t>Do you have deficiency relief to claim on life assurance policies?</t>
  </si>
  <si>
    <t>Ref: Life Assurance company payout / deficiency adjustment</t>
  </si>
  <si>
    <t>individual-reliefs → reliefs.deficiencyRelief</t>
  </si>
  <si>
    <t>Through HMRC API to see if this is claimed or not - Take the Brought Forward losses (the pool) - From API and TYPE of trading loss - And the type of claim made (check previous SA100)  - LOOK AT THE METHOD OF LOSS RELIEF USING GET HMRC API - LOOK FOR "RELEVANT RELIEF IN CALCULATION"</t>
  </si>
  <si>
    <t>{</t>
  </si>
  <si>
    <t xml:space="preserve">  "metadata": {</t>
  </si>
  <si>
    <t xml:space="preserve">    "calculationId": "f2fb30e5-4ab6-4a29-b3c1-c7264259ff1c",</t>
  </si>
  <si>
    <t xml:space="preserve">    "taxYear": "2021-22",</t>
  </si>
  <si>
    <t xml:space="preserve">    "requestedBy": "customer",</t>
  </si>
  <si>
    <t xml:space="preserve">    "requestedTimestamp": "2021-02-15T09:35:15.094Z",</t>
  </si>
  <si>
    <t xml:space="preserve">    "calculationReason": "customer-request",</t>
  </si>
  <si>
    <t xml:space="preserve">    "calculationTimestamp": "2021-08-15T09:35:15.094Z",</t>
  </si>
  <si>
    <t xml:space="preserve">    "calculationType": "final-declaration",</t>
  </si>
  <si>
    <t xml:space="preserve">    "intentToSubmitFinalDeclaration": true,</t>
  </si>
  <si>
    <t xml:space="preserve">    "finalDeclaration": true,</t>
  </si>
  <si>
    <t xml:space="preserve">    "finalDeclarationTimestamp": "2021-02-15T09:35:15.094Z",</t>
  </si>
  <si>
    <t xml:space="preserve">    "periodFrom": "2021-04-06",</t>
  </si>
  <si>
    <t xml:space="preserve">    "periodTo": "2022-04-05"</t>
  </si>
  <si>
    <t xml:space="preserve">  },</t>
  </si>
  <si>
    <t xml:space="preserve">  "inputs": {</t>
  </si>
  <si>
    <t xml:space="preserve">    "personalInformation": {</t>
  </si>
  <si>
    <t xml:space="preserve">      "identifier": "VO123456A",</t>
  </si>
  <si>
    <t xml:space="preserve">      "dateOfBirth": "1988-08-27",</t>
  </si>
  <si>
    <t xml:space="preserve">      "taxRegime": "uk",</t>
  </si>
  <si>
    <t xml:space="preserve">      "statePensionAgeDate": "2050-04-06",</t>
  </si>
  <si>
    <t xml:space="preserve">      "studentLoanPlan": [</t>
  </si>
  <si>
    <t xml:space="preserve">        {</t>
  </si>
  <si>
    <t xml:space="preserve">          "planType": "plan1"</t>
  </si>
  <si>
    <t xml:space="preserve">        }</t>
  </si>
  <si>
    <t xml:space="preserve">      ],</t>
  </si>
  <si>
    <t xml:space="preserve">      "class2VoluntaryContributions": true,</t>
  </si>
  <si>
    <t xml:space="preserve">      "marriageAllowance": "transferor",</t>
  </si>
  <si>
    <t xml:space="preserve">      "uniqueTaxpayerReference": "AGvHTfRUPO",</t>
  </si>
  <si>
    <t xml:space="preserve">      "itsaStatus": "No Status"</t>
  </si>
  <si>
    <t xml:space="preserve">    },</t>
  </si>
  <si>
    <t xml:space="preserve">    "incomeSources": {</t>
  </si>
  <si>
    <t xml:space="preserve">      "businessIncomeSources": [</t>
  </si>
  <si>
    <t xml:space="preserve">          "incomeSourceId": "XBIS12345678910",</t>
  </si>
  <si>
    <t xml:space="preserve">          "incomeSourceType": "self-employment",</t>
  </si>
  <si>
    <t xml:space="preserve">          "incomeSourceName": "Self-Employment Business One",</t>
  </si>
  <si>
    <t xml:space="preserve">          "accountingPeriodStartDate": "2021-04-06",</t>
  </si>
  <si>
    <t xml:space="preserve">          "accountingPeriodEndDate": "2022-04-05",</t>
  </si>
  <si>
    <t xml:space="preserve">          "source": "MTD-SA",</t>
  </si>
  <si>
    <t xml:space="preserve">          "cessationDate": "2021-04-06",</t>
  </si>
  <si>
    <t xml:space="preserve">          "commencementDate": "2022-04-05",</t>
  </si>
  <si>
    <t xml:space="preserve">          "latestPeriodEndDate": "2022-04-05",</t>
  </si>
  <si>
    <t xml:space="preserve">          "latestReceivedDateTime": "2022-12-02T15:25:48.475Z",</t>
  </si>
  <si>
    <t xml:space="preserve">          "submissionPeriods": [</t>
  </si>
  <si>
    <t xml:space="preserve">            {</t>
  </si>
  <si>
    <t xml:space="preserve">              "periodId": "001",</t>
  </si>
  <si>
    <t xml:space="preserve">              "startDate": "2021-04-06",</t>
  </si>
  <si>
    <t xml:space="preserve">              "endDate": "2022-07-05",</t>
  </si>
  <si>
    <t xml:space="preserve">              "receivedDateTime": "2022-02-15T09:35:04.843Z"</t>
  </si>
  <si>
    <t xml:space="preserve">            }</t>
  </si>
  <si>
    <t xml:space="preserve">          ]</t>
  </si>
  <si>
    <t xml:space="preserve">      "nonBusinessIncomeSources": [</t>
  </si>
  <si>
    <t xml:space="preserve">          "incomeSourceId": "XPIS12345678910",</t>
  </si>
  <si>
    <t xml:space="preserve">          "incomeSourceType": "uk-savings-and-gains",</t>
  </si>
  <si>
    <t xml:space="preserve">          "incomeSourceName": "Savings Account One",</t>
  </si>
  <si>
    <t xml:space="preserve">          "startDate": "2021-04-06",</t>
  </si>
  <si>
    <t xml:space="preserve">          "endDate": "2022-04-05",</t>
  </si>
  <si>
    <t xml:space="preserve">          "periodId": "001",</t>
  </si>
  <si>
    <t xml:space="preserve">          "latestReceivedDateTime": "2022-08-01T13:02:09.775Z"</t>
  </si>
  <si>
    <t xml:space="preserve">      ]</t>
  </si>
  <si>
    <t xml:space="preserve">    "annualAdjustments": [</t>
  </si>
  <si>
    <t xml:space="preserve">      {</t>
  </si>
  <si>
    <t xml:space="preserve">        "incomeSourceId": "XBIS12345678910",</t>
  </si>
  <si>
    <t xml:space="preserve">        "incomeSourceType": "self-employment",</t>
  </si>
  <si>
    <t xml:space="preserve">        "bsasId": "123a456b-789c-1d23-845e-678b9d1bd2ab",</t>
  </si>
  <si>
    <t xml:space="preserve">        "receivedDateTime": "2022-12-02T15:25:48.475Z",</t>
  </si>
  <si>
    <t xml:space="preserve">        "applied": true</t>
  </si>
  <si>
    <t xml:space="preserve">      }</t>
  </si>
  <si>
    <t xml:space="preserve">    ],</t>
  </si>
  <si>
    <t xml:space="preserve">    "lossesBroughtForward": [</t>
  </si>
  <si>
    <t xml:space="preserve">        "lossId": "0yriP9QrW2jTa6n",</t>
  </si>
  <si>
    <t xml:space="preserve">        "submissionTimestamp": "2022-12-02T15:25:48.475Z",</t>
  </si>
  <si>
    <t xml:space="preserve">        "lossType": "income",</t>
  </si>
  <si>
    <t xml:space="preserve">        "taxYearLossIncurred": "2020-21",</t>
  </si>
  <si>
    <t xml:space="preserve">        "currentLossValue": 12500,</t>
  </si>
  <si>
    <t xml:space="preserve">        "mtdLoss": false</t>
  </si>
  <si>
    <t xml:space="preserve">    "claims": [</t>
  </si>
  <si>
    <t xml:space="preserve">        "claimId": "0vayS9JrW2jTa6n",</t>
  </si>
  <si>
    <t xml:space="preserve">        "originatingClaimId": "1vayS9JrW2jTa6p",</t>
  </si>
  <si>
    <t xml:space="preserve">        "incomeSourceId": "000000000000210",</t>
  </si>
  <si>
    <t xml:space="preserve">        "taxYearClaimMade": "2021-22",</t>
  </si>
  <si>
    <t xml:space="preserve">        "claimType": "carry-forward",</t>
  </si>
  <si>
    <t xml:space="preserve">        "sequence": 1</t>
  </si>
  <si>
    <t xml:space="preserve">    "constructionIndustryScheme": [</t>
  </si>
  <si>
    <t xml:space="preserve">        "employerRef": "123/AA12345",</t>
  </si>
  <si>
    <t xml:space="preserve">        "contractorName": "Company-123 Ltd.",</t>
  </si>
  <si>
    <t xml:space="preserve">        "periodData": [</t>
  </si>
  <si>
    <t xml:space="preserve">          {</t>
  </si>
  <si>
    <t xml:space="preserve">            "deductionFromDate": "2021-11-02",</t>
  </si>
  <si>
    <t xml:space="preserve">            "deductionToDate": "2021-12-02",</t>
  </si>
  <si>
    <t xml:space="preserve">            "submissionTimestamp": "2021-12-10T15:25:48.475Z",</t>
  </si>
  <si>
    <t xml:space="preserve">            "source": "contractor",</t>
  </si>
  <si>
    <t xml:space="preserve">            "deductionAmount": 5000.99</t>
  </si>
  <si>
    <t xml:space="preserve">          }</t>
  </si>
  <si>
    <t xml:space="preserve">        ]</t>
  </si>
  <si>
    <t xml:space="preserve">    "allowancesReliefsAndDeductions": [</t>
  </si>
  <si>
    <t xml:space="preserve">        "type": "investment-reliefs",</t>
  </si>
  <si>
    <t xml:space="preserve">        "submittedTimestamp": "2021-12-10T15:25:48.475Z",</t>
  </si>
  <si>
    <t xml:space="preserve">        "startDate": "2021-11-02",</t>
  </si>
  <si>
    <t xml:space="preserve">        "endDate": "2021-12-02",</t>
  </si>
  <si>
    <t xml:space="preserve">        "source": "MTD-SA"</t>
  </si>
  <si>
    <t xml:space="preserve">    "pensionContributionAndCharges": [</t>
  </si>
  <si>
    <t xml:space="preserve">        "type": "pension-reliefs",</t>
  </si>
  <si>
    <t xml:space="preserve">        "submissionTimestamp": "2021-12-10T15:25:48.475Z",</t>
  </si>
  <si>
    <t xml:space="preserve">        "source": "customer"</t>
  </si>
  <si>
    <t xml:space="preserve">    "other": [</t>
  </si>
  <si>
    <t xml:space="preserve">        "type": "coding-out",</t>
  </si>
  <si>
    <t xml:space="preserve">        "submittedOn": "2021-12-04T15:25:48.475Z"</t>
  </si>
  <si>
    <t xml:space="preserve">    ]</t>
  </si>
  <si>
    <t xml:space="preserve">  "calculation": {</t>
  </si>
  <si>
    <t xml:space="preserve">    "allowancesAndDeductions": {</t>
  </si>
  <si>
    <t xml:space="preserve">      "personalAllowance": 12500,</t>
  </si>
  <si>
    <t xml:space="preserve">      "marriageAllowanceTransferOut": {</t>
  </si>
  <si>
    <t xml:space="preserve">        "personalAllowanceBeforeTransferOut": 5000.99,</t>
  </si>
  <si>
    <t xml:space="preserve">        "transferredOutAmount": 5000.99</t>
  </si>
  <si>
    <t xml:space="preserve">      },</t>
  </si>
  <si>
    <t xml:space="preserve">      "reducedPersonalAllowance": 12500,</t>
  </si>
  <si>
    <t xml:space="preserve">      "giftOfInvestmentsAndPropertyToCharity": 12500,</t>
  </si>
  <si>
    <t xml:space="preserve">      "blindPersonsAllowance": 12500,</t>
  </si>
  <si>
    <t xml:space="preserve">      "lossesAppliedToGeneralIncome": 12500,</t>
  </si>
  <si>
    <t xml:space="preserve">      "cgtLossSetAgainstInYearGeneralIncome": 12500,</t>
  </si>
  <si>
    <t xml:space="preserve">      "qualifyingLoanInterestFromInvestments": 5000.99,</t>
  </si>
  <si>
    <t xml:space="preserve">      "postCessationTradeReceipts": 5000.99,</t>
  </si>
  <si>
    <t xml:space="preserve">      "paymentsToTradeUnionsForDeathBenefits": 5000.99,</t>
  </si>
  <si>
    <t xml:space="preserve">      "grossAnnuityPayments": 5000.99,</t>
  </si>
  <si>
    <t xml:space="preserve">      "annuityPayments": {</t>
  </si>
  <si>
    <t xml:space="preserve">        "reliefClaimed": 5000.99,</t>
  </si>
  <si>
    <t xml:space="preserve">        "rate": 20.99</t>
  </si>
  <si>
    <t xml:space="preserve">      "pensionContributions": 5000.99,</t>
  </si>
  <si>
    <t xml:space="preserve">      "pensionContributionsDetail": {</t>
  </si>
  <si>
    <t xml:space="preserve">        "retirementAnnuityPayments": 5000.99,</t>
  </si>
  <si>
    <t xml:space="preserve">        "paymentToEmployersSchemeNoTaxRelief": 5000.99,</t>
  </si>
  <si>
    <t xml:space="preserve">        "overseasPensionSchemeContributions": 5000.99</t>
  </si>
  <si>
    <t xml:space="preserve">    "reliefs": {</t>
  </si>
  <si>
    <t xml:space="preserve">      "residentialFinanceCosts": {</t>
  </si>
  <si>
    <t xml:space="preserve">        "adjustedTotalIncome": 5000.99,</t>
  </si>
  <si>
    <t xml:space="preserve">        "totalAllowableAmount": 5000.99,</t>
  </si>
  <si>
    <t xml:space="preserve">        "relievableAmount": 5000.99,</t>
  </si>
  <si>
    <t xml:space="preserve">        "rate": 20.99,</t>
  </si>
  <si>
    <t xml:space="preserve">        "totalResidentialFinanceCostsRelief": 5000.99,</t>
  </si>
  <si>
    <t xml:space="preserve">        "ukProperty": {</t>
  </si>
  <si>
    <t xml:space="preserve">          "amountClaimed": 12500,</t>
  </si>
  <si>
    <t xml:space="preserve">          "allowableAmount": 5000.99,</t>
  </si>
  <si>
    <t xml:space="preserve">          "carryForwardAmount": 5000.99</t>
  </si>
  <si>
    <t xml:space="preserve">        },</t>
  </si>
  <si>
    <t xml:space="preserve">        "foreignProperty": {</t>
  </si>
  <si>
    <t xml:space="preserve">          "totalForeignPropertyAllowableAmount": 5000.99,</t>
  </si>
  <si>
    <t xml:space="preserve">          "foreignPropertyRfcDetail": [</t>
  </si>
  <si>
    <t xml:space="preserve">              "countryCode": "FRA",</t>
  </si>
  <si>
    <t xml:space="preserve">              "amountClaimed": 12500,</t>
  </si>
  <si>
    <t xml:space="preserve">              "allowableAmount": 5000.99,</t>
  </si>
  <si>
    <t xml:space="preserve">              "carryForwardAmount": 5000.99</t>
  </si>
  <si>
    <t xml:space="preserve">        "allOtherIncomeReceivedWhilstAbroad": {</t>
  </si>
  <si>
    <t xml:space="preserve">          "totalOtherIncomeAllowableAmount": 5000.99,</t>
  </si>
  <si>
    <t xml:space="preserve">          "otherIncomeRfcDetail": [</t>
  </si>
  <si>
    <t xml:space="preserve">              "residentialFinancialCostAmount": 5000.99,</t>
  </si>
  <si>
    <t xml:space="preserve">              "broughtFwdResidentialFinancialCostAmount": 5000.99</t>
  </si>
  <si>
    <t xml:space="preserve">      "reliefsClaimed": [</t>
  </si>
  <si>
    <t xml:space="preserve">          "type": "vct-subscriptions",</t>
  </si>
  <si>
    <t xml:space="preserve">          "amountClaimed": 5000.99,</t>
  </si>
  <si>
    <t xml:space="preserve">          "amountUsed": 5000.99,</t>
  </si>
  <si>
    <t xml:space="preserve">          "rate": 20.99,</t>
  </si>
  <si>
    <t xml:space="preserve">          "reliefsClaimedDetail": [</t>
  </si>
  <si>
    <t xml:space="preserve">              "amountClaimed": 5000.99,</t>
  </si>
  <si>
    <t xml:space="preserve">              "uniqueInvestmentRef": "BAO123456A",</t>
  </si>
  <si>
    <t xml:space="preserve">              "name": "VCT fund",</t>
  </si>
  <si>
    <t xml:space="preserve">              "socialEnterpriseName": "SE Inc",</t>
  </si>
  <si>
    <t xml:space="preserve">              "companyName": "Company Ltd.",</t>
  </si>
  <si>
    <t xml:space="preserve">              "deficiencyReliefType": "life-insurance",</t>
  </si>
  <si>
    <t xml:space="preserve">              "customerReference": "INPOLY123A"</t>
  </si>
  <si>
    <t xml:space="preserve">      "foreignTaxCreditRelief": {</t>
  </si>
  <si>
    <t xml:space="preserve">        "customerCalculatedRelief": true,</t>
  </si>
  <si>
    <t xml:space="preserve">        "totalForeignTaxCreditRelief": 5000.99,</t>
  </si>
  <si>
    <t xml:space="preserve">        "foreignTaxCreditReliefOnProperty": 5000.99,</t>
  </si>
  <si>
    <t xml:space="preserve">        "foreignTaxCreditReliefOnDividends": 5000.99,</t>
  </si>
  <si>
    <t xml:space="preserve">        "foreignTaxCreditReliefOnSavings": 5000.99,</t>
  </si>
  <si>
    <t xml:space="preserve">        "foreignTaxCreditReliefOnForeignIncome": 5000.99,</t>
  </si>
  <si>
    <t xml:space="preserve">        "foreignTaxCreditReliefDetail": [</t>
  </si>
  <si>
    <t xml:space="preserve">            "incomeSourceType": "foreign-dividends",</t>
  </si>
  <si>
    <t xml:space="preserve">            "incomeSourceId": "XFIS12345678910",</t>
  </si>
  <si>
    <t xml:space="preserve">            "countryCode": "FRA",</t>
  </si>
  <si>
    <t xml:space="preserve">            "foreignIncome": 5000.99,</t>
  </si>
  <si>
    <t xml:space="preserve">            "foreignTax": 5000.99,</t>
  </si>
  <si>
    <t xml:space="preserve">            "dtaRate": 20.99,</t>
  </si>
  <si>
    <t xml:space="preserve">            "dtaAmount": 5000.99,</t>
  </si>
  <si>
    <t xml:space="preserve">            "ukLiabilityOnIncome": 5000.99,</t>
  </si>
  <si>
    <t xml:space="preserve">            "foreignTaxCredit": 5000.99,</t>
  </si>
  <si>
    <t xml:space="preserve">            "employmentLumpSum": true</t>
  </si>
  <si>
    <t xml:space="preserve">      "topSlicingRelief": {</t>
  </si>
  <si>
    <t xml:space="preserve">        "amount": 5000.99</t>
  </si>
  <si>
    <t xml:space="preserve">      "basicRateExtension": {</t>
  </si>
  <si>
    <t xml:space="preserve">        "totalBasicRateExtension": 2010.58,</t>
  </si>
  <si>
    <t xml:space="preserve">        "giftAidRelief": 3000,</t>
  </si>
  <si>
    <t xml:space="preserve">        "pensionContributionReliefs": 5000.58</t>
  </si>
  <si>
    <t xml:space="preserve">      "giftAidTaxReductionWhereBasicRateDiffers": {</t>
  </si>
  <si>
    <t xml:space="preserve">        "amount": 2000.58</t>
  </si>
  <si>
    <t xml:space="preserve">    "taxDeductedAtSource": {</t>
  </si>
  <si>
    <t xml:space="preserve">      "bbsi": 5000.99,</t>
  </si>
  <si>
    <t xml:space="preserve">      "ukLandAndProperty": 5000.99,</t>
  </si>
  <si>
    <t xml:space="preserve">      "cis": 5000.99,</t>
  </si>
  <si>
    <t xml:space="preserve">      "securities": 5000.99,</t>
  </si>
  <si>
    <t xml:space="preserve">      "voidedIsa": 5000.99,</t>
  </si>
  <si>
    <t xml:space="preserve">      "payeEmployments": 5000.99,</t>
  </si>
  <si>
    <t xml:space="preserve">      "occupationalPensions": 5000.99,</t>
  </si>
  <si>
    <t xml:space="preserve">      "stateBenefits": -99999999999.99,</t>
  </si>
  <si>
    <t xml:space="preserve">      "specialWithholdingTaxOrUkTaxPaid": 5000.99,</t>
  </si>
  <si>
    <t xml:space="preserve">      "inYearAdjustmentCodedInLaterTaxYear": 5000.99,</t>
  </si>
  <si>
    <t xml:space="preserve">      "taxTakenOffTradingIncome": 5000.99</t>
  </si>
  <si>
    <t xml:space="preserve">    "giftAid": {</t>
  </si>
  <si>
    <t xml:space="preserve">      "grossGiftAidPayments": 12500,</t>
  </si>
  <si>
    <t xml:space="preserve">      "rate": 20.99,</t>
  </si>
  <si>
    <t xml:space="preserve">      "giftAidTax": 5000.99,</t>
  </si>
  <si>
    <t xml:space="preserve">      "giftAidTaxReductions": 5000.99,</t>
  </si>
  <si>
    <t xml:space="preserve">      "incomeTaxChargedAfterGiftAidTaxReductions": 5000.99,</t>
  </si>
  <si>
    <t xml:space="preserve">      "giftAidCharge": 5000.99</t>
  </si>
  <si>
    <t xml:space="preserve">    "royaltyPayments": {</t>
  </si>
  <si>
    <t xml:space="preserve">      "royaltyPaymentsAmount": 12500,</t>
  </si>
  <si>
    <t xml:space="preserve">      "grossRoyaltyPayments": 12500</t>
  </si>
  <si>
    <t xml:space="preserve">    "notionalTax": {</t>
  </si>
  <si>
    <t xml:space="preserve">      "chargeableGains": 5000.99</t>
  </si>
  <si>
    <t xml:space="preserve">    "marriageAllowanceTransferredIn": {</t>
  </si>
  <si>
    <t xml:space="preserve">      "amount": 5000.99,</t>
  </si>
  <si>
    <t xml:space="preserve">      "rate": 20.99</t>
  </si>
  <si>
    <t xml:space="preserve">    "pensionContributionReliefs": {</t>
  </si>
  <si>
    <t xml:space="preserve">      "totalPensionContributionReliefs": 5000.99,</t>
  </si>
  <si>
    <t xml:space="preserve">      "pensionContributionDetail": {</t>
  </si>
  <si>
    <t xml:space="preserve">        "regularPensionContributions": 5000.99,</t>
  </si>
  <si>
    <t xml:space="preserve">        "oneOffPensionContributionsPaid": 5000.99</t>
  </si>
  <si>
    <t xml:space="preserve">    "pensionSavingsTaxCharges": {</t>
  </si>
  <si>
    <t xml:space="preserve">      "totalPensionCharges": 5000.99,</t>
  </si>
  <si>
    <t xml:space="preserve">      "totalTaxPaid": 5000.99,</t>
  </si>
  <si>
    <t xml:space="preserve">      "totalPensionChargesDue": 5000.99,</t>
  </si>
  <si>
    <t xml:space="preserve">      "pensionSavingsTaxChargesDetail": {</t>
  </si>
  <si>
    <t xml:space="preserve">        "excessOfLifeTimeAllowance": {</t>
  </si>
  <si>
    <t xml:space="preserve">          "totalChargeableAmount": 5000.99,</t>
  </si>
  <si>
    <t xml:space="preserve">          "totalTaxPaid": 5000.99,</t>
  </si>
  <si>
    <t xml:space="preserve">          "lumpSumBenefitTakenInExcessOfLifetimeAllowance": {</t>
  </si>
  <si>
    <t xml:space="preserve">            "amount": 5000.99,</t>
  </si>
  <si>
    <t xml:space="preserve">            "taxPaid": 5000.99,</t>
  </si>
  <si>
    <t xml:space="preserve">            "rate": 20.99,</t>
  </si>
  <si>
    <t xml:space="preserve">            "chargeableAmount": 5000.99</t>
  </si>
  <si>
    <t xml:space="preserve">          },</t>
  </si>
  <si>
    <t xml:space="preserve">          "benefitInExcessOfLifetimeAllowance": {</t>
  </si>
  <si>
    <t xml:space="preserve">        "pensionSchemeUnauthorisedPayments": {</t>
  </si>
  <si>
    <t xml:space="preserve">          "pensionSchemeUnauthorisedPaymentsSurcharge": {</t>
  </si>
  <si>
    <t xml:space="preserve">          "pensionSchemeUnauthorisedPaymentsNonSurcharge": {</t>
  </si>
  <si>
    <t xml:space="preserve">        "pensionSchemeOverseasTransfers": {</t>
  </si>
  <si>
    <t xml:space="preserve">          "transferCharge": 5000.99,</t>
  </si>
  <si>
    <t xml:space="preserve">          "transferChargeTaxPaid": 5000.99,</t>
  </si>
  <si>
    <t xml:space="preserve">          "chargeableAmount": 5000.99</t>
  </si>
  <si>
    <t xml:space="preserve">        "pensionContributionsInExcessOfTheAnnualAllowance": {</t>
  </si>
  <si>
    <t xml:space="preserve">          "totalContributions": 5000.99,</t>
  </si>
  <si>
    <t xml:space="preserve">          "totalPensionCharge": 5000.99,</t>
  </si>
  <si>
    <t xml:space="preserve">          "annualAllowanceTaxPaid": 5000.99,</t>
  </si>
  <si>
    <t xml:space="preserve">          "totalPensionChargeDue": 5000.99,</t>
  </si>
  <si>
    <t xml:space="preserve">          "pensionBands": [</t>
  </si>
  <si>
    <t xml:space="preserve">              "name": "basic-rate",</t>
  </si>
  <si>
    <t xml:space="preserve">              "rate": 20.99,</t>
  </si>
  <si>
    <t xml:space="preserve">              "bandLimit": 12500,</t>
  </si>
  <si>
    <t xml:space="preserve">              "apportionedBandLimit": 12500,</t>
  </si>
  <si>
    <t xml:space="preserve">              "contributionAmount": 5000.99,</t>
  </si>
  <si>
    <t xml:space="preserve">              "pensionCharge": 5000.99</t>
  </si>
  <si>
    <t xml:space="preserve">        "overseasPensionContributions": {</t>
  </si>
  <si>
    <t xml:space="preserve">          "totalShortServiceRefund": 5000.99,</t>
  </si>
  <si>
    <t xml:space="preserve">          "totalShortServiceRefundCharge": 5000.99,</t>
  </si>
  <si>
    <t xml:space="preserve">          "shortServiceRefundTaxPaid": 5000.99,</t>
  </si>
  <si>
    <t xml:space="preserve">          "totalShortServiceRefundChargeDue": 5000.99,</t>
  </si>
  <si>
    <t xml:space="preserve">          "shortServiceRefundBands": [</t>
  </si>
  <si>
    <t xml:space="preserve">              "name": "lower-band",</t>
  </si>
  <si>
    <t xml:space="preserve">              "shortServiceRefundAmount": 5000.99,</t>
  </si>
  <si>
    <t xml:space="preserve">              "shortServiceRefundCharge": 5000.99</t>
  </si>
  <si>
    <t xml:space="preserve">    "studentLoans": [</t>
  </si>
  <si>
    <t xml:space="preserve">        "planType": "plan1",</t>
  </si>
  <si>
    <t xml:space="preserve">        "studentLoanTotalIncomeAmount": 5000.99,</t>
  </si>
  <si>
    <t xml:space="preserve">        "studentLoanChargeableIncomeAmount": 5000.99,</t>
  </si>
  <si>
    <t xml:space="preserve">        "studentLoanRepaymentAmount": 5000.99,</t>
  </si>
  <si>
    <t xml:space="preserve">        "studentLoanDeductionsFromEmployment": 5000.99,</t>
  </si>
  <si>
    <t xml:space="preserve">        "studentLoanRepaymentAmountNetOfDeductions": 5000.99,</t>
  </si>
  <si>
    <t xml:space="preserve">        "studentLoanApportionedIncomeThreshold": 12500,</t>
  </si>
  <si>
    <t xml:space="preserve">        "studentLoanRate": 20.99,</t>
  </si>
  <si>
    <t xml:space="preserve">        "payeIncomeForStudentLoan": 5000.99,</t>
  </si>
  <si>
    <t xml:space="preserve">        "nonPayeIncomeForStudentLoan": 5000.99</t>
  </si>
  <si>
    <t xml:space="preserve">    "codedOutUnderpayments": {</t>
  </si>
  <si>
    <t xml:space="preserve">      "totalPayeUnderpayments": 5000.99,</t>
  </si>
  <si>
    <t xml:space="preserve">      "payeUnderpaymentsDetail": [</t>
  </si>
  <si>
    <t xml:space="preserve">          "amount": 5000.99,</t>
  </si>
  <si>
    <t xml:space="preserve">          "relatedTaxYear": "2021-22",</t>
  </si>
  <si>
    <t xml:space="preserve">          "source": "customer"</t>
  </si>
  <si>
    <t xml:space="preserve">      "totalSelfAssessmentUnderpayments": 5000.99,</t>
  </si>
  <si>
    <t xml:space="preserve">      "totalCollectedSelfAssessmentUnderpayments": 5000.99,</t>
  </si>
  <si>
    <t xml:space="preserve">      "totalUncollectedSelfAssessmentUnderpayments": 5000.99,</t>
  </si>
  <si>
    <t xml:space="preserve">      "selfAssessmentUnderpaymentsDetail": [</t>
  </si>
  <si>
    <t xml:space="preserve">          "source": "customer",</t>
  </si>
  <si>
    <t xml:space="preserve">          "collectedAmount": 5000.99,</t>
  </si>
  <si>
    <t xml:space="preserve">          "uncollectedAmount": 5000.99</t>
  </si>
  <si>
    <t xml:space="preserve">    "foreignPropertyIncome": [</t>
  </si>
  <si>
    <t xml:space="preserve">        "incomeSourceId": "XFIS12345678911",</t>
  </si>
  <si>
    <t xml:space="preserve">        "incomeSourceType": "foreign-property",</t>
  </si>
  <si>
    <t xml:space="preserve">        "countryCode": "USA",</t>
  </si>
  <si>
    <t xml:space="preserve">        "totalIncome": 5000.99,</t>
  </si>
  <si>
    <t xml:space="preserve">        "totalExpenses": 5000.99,</t>
  </si>
  <si>
    <t xml:space="preserve">        "netProfit": 5000.99,</t>
  </si>
  <si>
    <t xml:space="preserve">        "netLoss": 5000.99,</t>
  </si>
  <si>
    <t xml:space="preserve">        "totalAdditions": 5000.99,</t>
  </si>
  <si>
    <t xml:space="preserve">        "totalDeductions": 5000.99,</t>
  </si>
  <si>
    <t xml:space="preserve">        "taxableProfit": 5000.99,</t>
  </si>
  <si>
    <t xml:space="preserve">        "adjustedIncomeTaxLoss": 5000.99</t>
  </si>
  <si>
    <t xml:space="preserve">    "businessProfitAndLoss": [</t>
  </si>
  <si>
    <t xml:space="preserve">        "incomeSourceId": "XBIS12345678911",</t>
  </si>
  <si>
    <t xml:space="preserve">        "incomeSourceName": "Self-Employment Business One",</t>
  </si>
  <si>
    <t xml:space="preserve">        "totalExpenses": -99999999999.99,</t>
  </si>
  <si>
    <t xml:space="preserve">        "totalAdditions": -99999999999.99,</t>
  </si>
  <si>
    <t xml:space="preserve">        "accountingAdjustments": -99999999999.99,</t>
  </si>
  <si>
    <t xml:space="preserve">        "taxableProfit": 12500,</t>
  </si>
  <si>
    <t xml:space="preserve">        "adjustedIncomeTaxLoss": 12500,</t>
  </si>
  <si>
    <t xml:space="preserve">        "totalBroughtForwardIncomeTaxLosses": 12500,</t>
  </si>
  <si>
    <t xml:space="preserve">        "lossForCSFHL": 12500,</t>
  </si>
  <si>
    <t xml:space="preserve">        "broughtForwardIncomeTaxLossesUsed": 12500,</t>
  </si>
  <si>
    <t xml:space="preserve">        "taxableProfitAfterIncomeTaxLossesDeduction": 12500,</t>
  </si>
  <si>
    <t xml:space="preserve">        "carrySidewaysIncomeTaxLossesUsed": 12500,</t>
  </si>
  <si>
    <t xml:space="preserve">        "broughtForwardCarrySidewaysIncomeTaxLossesUsed": 12500,</t>
  </si>
  <si>
    <t xml:space="preserve">        "totalIncomeTaxLossesCarriedForward": 12500,</t>
  </si>
  <si>
    <t xml:space="preserve">        "class4Loss": 12500,</t>
  </si>
  <si>
    <t xml:space="preserve">        "totalBroughtForwardClass4Losses": 12500,</t>
  </si>
  <si>
    <t xml:space="preserve">        "broughtForwardClass4LossesUsed": 12500,</t>
  </si>
  <si>
    <t xml:space="preserve">        "carrySidewaysClass4LossesUsed": 12500,</t>
  </si>
  <si>
    <t xml:space="preserve">        "totalClass4LossesCarriedForward": 12500</t>
  </si>
  <si>
    <t xml:space="preserve">    "employmentAndPensionsIncome": {</t>
  </si>
  <si>
    <t xml:space="preserve">      "totalPayeEmploymentAndLumpSumIncome": 5000.99,</t>
  </si>
  <si>
    <t xml:space="preserve">      "totalOccupationalPensionIncome": 5000.99,</t>
  </si>
  <si>
    <t xml:space="preserve">      "totalBenefitsInKind": 5000.99,</t>
  </si>
  <si>
    <t xml:space="preserve">      "tipsIncome": 5000.99,</t>
  </si>
  <si>
    <t xml:space="preserve">      "employmentAndPensionsIncomeDetail": [</t>
  </si>
  <si>
    <t xml:space="preserve">          "incomeSourceId": "bb74c290-cae6-11ec-9b64-0242ac120002",</t>
  </si>
  <si>
    <t xml:space="preserve">          "occupationalPension": true,</t>
  </si>
  <si>
    <t xml:space="preserve">          "employerRef": "123/AA12345",</t>
  </si>
  <si>
    <t xml:space="preserve">          "employerName": "Green Ltd.",</t>
  </si>
  <si>
    <t xml:space="preserve">          "payrollId": "YDIAHPcYFQbOXLCKQ",</t>
  </si>
  <si>
    <t xml:space="preserve">          "startDate": "2021-01-02",</t>
  </si>
  <si>
    <t xml:space="preserve">          "dateEmploymentEnded": "2021-12-02",</t>
  </si>
  <si>
    <t xml:space="preserve">          "taxablePayToDate": 5000.99,</t>
  </si>
  <si>
    <t xml:space="preserve">          "totalTaxToDate": -99999999999.99,</t>
  </si>
  <si>
    <t xml:space="preserve">          "disguisedRemuneration": true,</t>
  </si>
  <si>
    <t xml:space="preserve">          "lumpSums": {</t>
  </si>
  <si>
    <t xml:space="preserve">            "totalLumpSum": 5000.99,</t>
  </si>
  <si>
    <t xml:space="preserve">            "totalTaxPaid": 5000.99,</t>
  </si>
  <si>
    <t xml:space="preserve">            "lumpSumsDetail": {</t>
  </si>
  <si>
    <t xml:space="preserve">              "taxableLumpSumsAndCertainIncome": {</t>
  </si>
  <si>
    <t xml:space="preserve">                "amount": 5000.99,</t>
  </si>
  <si>
    <t xml:space="preserve">                "taxPaid": 5000.99,</t>
  </si>
  <si>
    <t xml:space="preserve">                "taxTakenOffInEmployment": true</t>
  </si>
  <si>
    <t xml:space="preserve">              },</t>
  </si>
  <si>
    <t xml:space="preserve">              "benefitFromEmployerFinancedRetirementScheme": {</t>
  </si>
  <si>
    <t xml:space="preserve">                "exemptAmount": 5000.99,</t>
  </si>
  <si>
    <t xml:space="preserve">              "redundancyCompensationPaymentsOverExemption": {</t>
  </si>
  <si>
    <t xml:space="preserve">              "redundancyCompensationPaymentsUnderExemption": {</t>
  </si>
  <si>
    <t xml:space="preserve">                "amount": 5000.99</t>
  </si>
  <si>
    <t xml:space="preserve">              }</t>
  </si>
  <si>
    <t xml:space="preserve">          "studentLoans": {</t>
  </si>
  <si>
    <t xml:space="preserve">            "uglDeductionAmount": 5000.99,</t>
  </si>
  <si>
    <t xml:space="preserve">            "pglDeductionAmount": 5000.99</t>
  </si>
  <si>
    <t xml:space="preserve">          "benefitsInKind": {</t>
  </si>
  <si>
    <t xml:space="preserve">            "totalBenefitsInKindReceived": 5000.99,</t>
  </si>
  <si>
    <t xml:space="preserve">            "benefitsInKindDetail": {</t>
  </si>
  <si>
    <t xml:space="preserve">              "apportionedAccommodation": 5000.99,</t>
  </si>
  <si>
    <t xml:space="preserve">              "apportionedAssets": 5000.99,</t>
  </si>
  <si>
    <t xml:space="preserve">              "apportionedAssetTransfer": 5000.99,</t>
  </si>
  <si>
    <t xml:space="preserve">              "apportionedBeneficialLoan": 5000.99,</t>
  </si>
  <si>
    <t xml:space="preserve">              "apportionedCar": 5000.99,</t>
  </si>
  <si>
    <t xml:space="preserve">              "apportionedCarFuel": 5000.99,</t>
  </si>
  <si>
    <t xml:space="preserve">              "apportionedEducationalServices": 5000.99,</t>
  </si>
  <si>
    <t xml:space="preserve">              "apportionedEntertaining": 5000.99,</t>
  </si>
  <si>
    <t xml:space="preserve">              "apportionedExpenses": 5000.99,</t>
  </si>
  <si>
    <t xml:space="preserve">              "apportionedMedicalInsurance": 5000.99,</t>
  </si>
  <si>
    <t xml:space="preserve">              "apportionedTelephone": 5000.99,</t>
  </si>
  <si>
    <t xml:space="preserve">              "apportionedService": 5000.99,</t>
  </si>
  <si>
    <t xml:space="preserve">              "apportionedTaxableExpenses": 5000.99,</t>
  </si>
  <si>
    <t xml:space="preserve">              "apportionedVan": 5000.99,</t>
  </si>
  <si>
    <t xml:space="preserve">              "apportionedVanFuel": 5000.99,</t>
  </si>
  <si>
    <t xml:space="preserve">              "apportionedMileage": 5000.99,</t>
  </si>
  <si>
    <t xml:space="preserve">              "apportionedNonQualifyingRelocationExpenses": 5000.99,</t>
  </si>
  <si>
    <t xml:space="preserve">              "apportionedNurseryPlaces": 5000.99,</t>
  </si>
  <si>
    <t xml:space="preserve">              "apportionedOtherItems": 5000.99,</t>
  </si>
  <si>
    <t xml:space="preserve">              "apportionedPaymentsOnEmployeesBehalf": 5000.99,</t>
  </si>
  <si>
    <t xml:space="preserve">              "apportionedPersonalIncidentalExpenses": 5000.99,</t>
  </si>
  <si>
    <t xml:space="preserve">              "apportionedQualifyingRelocationExpenses": 5000.99,</t>
  </si>
  <si>
    <t xml:space="preserve">              "apportionedEmployerProvidedProfessionalSubscriptions": 5000.99,</t>
  </si>
  <si>
    <t xml:space="preserve">              "apportionedEmployerProvidedServices": 5000.99,</t>
  </si>
  <si>
    <t xml:space="preserve">              "apportionedIncomeTaxPaidByDirector": 5000.99,</t>
  </si>
  <si>
    <t xml:space="preserve">              "apportionedTravelAndSubsistence": 5000.99,</t>
  </si>
  <si>
    <t xml:space="preserve">              "apportionedVouchersAndCreditCards": 5000.99,</t>
  </si>
  <si>
    <t xml:space="preserve">              "apportionedNonCash": 5000.99</t>
  </si>
  <si>
    <t xml:space="preserve">    "employmentExpenses": {</t>
  </si>
  <si>
    <t xml:space="preserve">      "totalEmploymentExpenses": 5000.99,</t>
  </si>
  <si>
    <t xml:space="preserve">      "employmentExpensesDetail": {</t>
  </si>
  <si>
    <t xml:space="preserve">        "businessTravelCosts": 5000.99,</t>
  </si>
  <si>
    <t xml:space="preserve">        "jobExpenses": 5000.99,</t>
  </si>
  <si>
    <t xml:space="preserve">        "flatRateJobExpenses": 5000.99,</t>
  </si>
  <si>
    <t xml:space="preserve">        "professionalSubscriptions": 5000.99,</t>
  </si>
  <si>
    <t xml:space="preserve">        "hotelAndMealExpenses": 5000.99,</t>
  </si>
  <si>
    <t xml:space="preserve">        "otherAndCapitalAllowances": 5000.99,</t>
  </si>
  <si>
    <t xml:space="preserve">        "vehicleExpenses": 5000.99,</t>
  </si>
  <si>
    <t xml:space="preserve">        "mileageAllowanceRelief": 5000.99</t>
  </si>
  <si>
    <t xml:space="preserve">    "seafarersDeductions": {</t>
  </si>
  <si>
    <t xml:space="preserve">      "totalSeafarersDeduction": 5000.99,</t>
  </si>
  <si>
    <t xml:space="preserve">      "seafarersDeductionDetail": [</t>
  </si>
  <si>
    <t xml:space="preserve">          "nameOfShip": "Blue Bell",</t>
  </si>
  <si>
    <t xml:space="preserve">          "amountDeducted": 5000.99</t>
  </si>
  <si>
    <t xml:space="preserve">    "foreignTaxForFtcrNotClaimed": {</t>
  </si>
  <si>
    <t xml:space="preserve">      "foreignTaxOnForeignEmployment": 5000.99</t>
  </si>
  <si>
    <t xml:space="preserve">    "stateBenefitsIncome": {</t>
  </si>
  <si>
    <t xml:space="preserve">      "totalStateBenefitsIncome": 5000.99,</t>
  </si>
  <si>
    <t xml:space="preserve">      "totalStateBenefitsTaxPaid": -99999999999.99,</t>
  </si>
  <si>
    <t xml:space="preserve">      "stateBenefitsDetail": {</t>
  </si>
  <si>
    <t xml:space="preserve">        "incapacityBenefit": [</t>
  </si>
  <si>
    <t xml:space="preserve">            "incomeSourceId": "bc51a3eb-e374-11b9-aa02-96db92561138",</t>
  </si>
  <si>
    <t xml:space="preserve">            "source": "customer"</t>
  </si>
  <si>
    <t xml:space="preserve">        ],</t>
  </si>
  <si>
    <t xml:space="preserve">        "statePension": [</t>
  </si>
  <si>
    <t xml:space="preserve">            "incomeSourceId": "cb74c290-cae6-11ec-bb64-0242ac121114",</t>
  </si>
  <si>
    <t xml:space="preserve">        "statePensionLumpSum": [</t>
  </si>
  <si>
    <t xml:space="preserve">            "incomeSourceId": "dc45c178-bac5-22ec-9b65-1351bd140002",</t>
  </si>
  <si>
    <t xml:space="preserve">        "employmentSupportAllowance": [</t>
  </si>
  <si>
    <t xml:space="preserve">            "incomeSourceId": "e4bf331e-0e55-297f-8a74-c766674775d4",</t>
  </si>
  <si>
    <t xml:space="preserve">            "taxPaid": -99999999999.99,</t>
  </si>
  <si>
    <t xml:space="preserve">        "jobSeekersAllowance": [</t>
  </si>
  <si>
    <t xml:space="preserve">            "incomeSourceId": "f4af222e-0b44-286f-9a65-c655674776d8",</t>
  </si>
  <si>
    <t xml:space="preserve">        "bereavementAllowance": [</t>
  </si>
  <si>
    <t xml:space="preserve">            "incomeSourceId": "ae99d345-dab5-25dc-9b19-0252bc322252",</t>
  </si>
  <si>
    <t xml:space="preserve">        "otherStateBenefits": [</t>
  </si>
  <si>
    <t xml:space="preserve">            "incomeSourceId": "bf87eb89-3d07-1496-89da-cf16d45c934b",</t>
  </si>
  <si>
    <t xml:space="preserve">      "totalStateBenefitsIncomeExcStatePensionLumpSum": 5000.99</t>
  </si>
  <si>
    <t xml:space="preserve">    "shareSchemesIncome": {</t>
  </si>
  <si>
    <t xml:space="preserve">      "totalIncome": 5000.99,</t>
  </si>
  <si>
    <t xml:space="preserve">      "shareSchemeDetail": [</t>
  </si>
  <si>
    <t xml:space="preserve">          "type": "share-option",</t>
  </si>
  <si>
    <t xml:space="preserve">          "employerName": "ABC-123 Ltd.",</t>
  </si>
  <si>
    <t xml:space="preserve">          "employerRef": "123/AB56797",</t>
  </si>
  <si>
    <t xml:space="preserve">          "taxableAmount": 5000.99</t>
  </si>
  <si>
    <t xml:space="preserve">    "foreignIncome": {</t>
  </si>
  <si>
    <t xml:space="preserve">      "chargeableOverseasPensionsStateBenefitsRoyalties": 5000.99,</t>
  </si>
  <si>
    <t xml:space="preserve">      "overseasPensionsStateBenefitsRoyaltiesDetail": [</t>
  </si>
  <si>
    <t xml:space="preserve">          "countryCode": "FRA",</t>
  </si>
  <si>
    <t xml:space="preserve">          "grossIncome": 5000.99,</t>
  </si>
  <si>
    <t xml:space="preserve">          "netIncome": 5000.99,</t>
  </si>
  <si>
    <t xml:space="preserve">          "taxDeducted": 5000.99,</t>
  </si>
  <si>
    <t xml:space="preserve">          "foreignTaxCreditRelief": true</t>
  </si>
  <si>
    <t xml:space="preserve">      "chargeableAllOtherIncomeReceivedWhilstAbroad": 5000.99,</t>
  </si>
  <si>
    <t xml:space="preserve">      "allOtherIncomeReceivedWhilstAbroadDetail": [</t>
  </si>
  <si>
    <t xml:space="preserve">      "overseasIncomeAndGains": {</t>
  </si>
  <si>
    <t xml:space="preserve">        "gainAmount": 5000.99</t>
  </si>
  <si>
    <t xml:space="preserve">      "totalForeignBenefitsAndGifts": 5000.99,</t>
  </si>
  <si>
    <t xml:space="preserve">      "chargeableForeignBenefitsAndGiftsDetail": {</t>
  </si>
  <si>
    <t xml:space="preserve">        "transactionBenefit": 5000.99,</t>
  </si>
  <si>
    <t xml:space="preserve">        "protectedForeignIncomeSourceBenefit": 5000.99,</t>
  </si>
  <si>
    <t xml:space="preserve">        "protectedForeignIncomeOnwardGift": 5000.99,</t>
  </si>
  <si>
    <t xml:space="preserve">        "benefitReceivedAsASettler": 5000.99,</t>
  </si>
  <si>
    <t xml:space="preserve">        "onwardGiftReceivedAsASettler": 5000.99</t>
  </si>
  <si>
    <t xml:space="preserve">    "chargeableEventGainsIncome": {</t>
  </si>
  <si>
    <t xml:space="preserve">      "totalOfAllGains": 12500,</t>
  </si>
  <si>
    <t xml:space="preserve">      "totalGainsWithTaxPaid": 12500,</t>
  </si>
  <si>
    <t xml:space="preserve">      "gainsWithTaxPaidDetail": [</t>
  </si>
  <si>
    <t xml:space="preserve">          "type": "life-insurance",</t>
  </si>
  <si>
    <t xml:space="preserve">          "customerReference": "string",</t>
  </si>
  <si>
    <t xml:space="preserve">          "gainAmount": 5000.99,</t>
  </si>
  <si>
    <t xml:space="preserve">          "yearsHeld": 0,</t>
  </si>
  <si>
    <t xml:space="preserve">          "yearsHeldSinceLastGain": 0</t>
  </si>
  <si>
    <t xml:space="preserve">      "totalGainsWithNoTaxPaidAndVoidedIsa": 12500,</t>
  </si>
  <si>
    <t xml:space="preserve">      "gainsWithNoTaxPaidAndVoidedIsaDetail": [</t>
  </si>
  <si>
    <t xml:space="preserve">          "customerReference": "INPOLY123B",</t>
  </si>
  <si>
    <t xml:space="preserve">          "yearsHeldSinceLastGain": 0,</t>
  </si>
  <si>
    <t xml:space="preserve">          "voidedIsaTaxPaid": 5000.99</t>
  </si>
  <si>
    <t xml:space="preserve">      "totalForeignGainsOnLifePoliciesTaxPaid": 12500,</t>
  </si>
  <si>
    <t xml:space="preserve">      "foreignGainsOnLifePoliciesTaxPaidDetail": [</t>
  </si>
  <si>
    <t xml:space="preserve">          "customerReference": "INPOLY123C",</t>
  </si>
  <si>
    <t xml:space="preserve">          "taxPaidAmount": 5000.99,</t>
  </si>
  <si>
    <t xml:space="preserve">          "yearsHeld": 0</t>
  </si>
  <si>
    <t xml:space="preserve">      "totalForeignGainsOnLifePoliciesNoTaxPaid": 12500,</t>
  </si>
  <si>
    <t xml:space="preserve">      "foreignGainsOnLifePoliciesNoTaxPaidDetail": [</t>
  </si>
  <si>
    <t xml:space="preserve">          "customerReference": "INPOLY123D",</t>
  </si>
  <si>
    <t xml:space="preserve">    "savingsAndGainsIncome": {</t>
  </si>
  <si>
    <t xml:space="preserve">      "totalChargeableSavingsAndGains": 12500,</t>
  </si>
  <si>
    <t xml:space="preserve">      "totalUkSavingsAndGains": 12500,</t>
  </si>
  <si>
    <t xml:space="preserve">      "ukSavingsAndGainsIncome": [</t>
  </si>
  <si>
    <t xml:space="preserve">          "incomeSourceId": "XPIS12345678911",</t>
  </si>
  <si>
    <t xml:space="preserve">          "incomeSourceName": "My Savings Account One",</t>
  </si>
  <si>
    <t xml:space="preserve">          "taxDeducted": 5000.99</t>
  </si>
  <si>
    <t xml:space="preserve">      "chargeableForeignSavingsAndGains": 12500,</t>
  </si>
  <si>
    <t xml:space="preserve">      "foreignSavingsAndGainsIncome": [</t>
  </si>
  <si>
    <t xml:space="preserve">          "incomeSourceType": "foreign-savings-and-gains",</t>
  </si>
  <si>
    <t xml:space="preserve">          "countryCode": "DEU",</t>
  </si>
  <si>
    <t xml:space="preserve">    "otherIncome": {</t>
  </si>
  <si>
    <t xml:space="preserve">      "totalOtherIncome": 2000,</t>
  </si>
  <si>
    <t xml:space="preserve">      "postCessationIncome": {</t>
  </si>
  <si>
    <t xml:space="preserve">        "totalPostCessationReceipts": 2000.99,</t>
  </si>
  <si>
    <t xml:space="preserve">        "postCessationReceipts": [</t>
  </si>
  <si>
    <t xml:space="preserve">            "amount": 2000,</t>
  </si>
  <si>
    <t xml:space="preserve">            "taxYearIncomeToBeTaxed": "2019-20"</t>
  </si>
  <si>
    <t xml:space="preserve">    "dividendsIncome": {</t>
  </si>
  <si>
    <t xml:space="preserve">      "totalChargeableDividends": 12500,</t>
  </si>
  <si>
    <t xml:space="preserve">      "totalUkDividends": 12500,</t>
  </si>
  <si>
    <t xml:space="preserve">      "ukDividends": {</t>
  </si>
  <si>
    <t xml:space="preserve">        "incomeSourceId": "XPIS12345678912",</t>
  </si>
  <si>
    <t xml:space="preserve">        "incomeSourceType": "uk-dividends",</t>
  </si>
  <si>
    <t xml:space="preserve">        "dividends": 12500,</t>
  </si>
  <si>
    <t xml:space="preserve">        "otherUkDividends": 12500</t>
  </si>
  <si>
    <t xml:space="preserve">      "otherDividends": [</t>
  </si>
  <si>
    <t xml:space="preserve">          "typeOfDividend": "stock-dividend",</t>
  </si>
  <si>
    <t xml:space="preserve">          "customerReference": "ODPDLY235A",</t>
  </si>
  <si>
    <t xml:space="preserve">          "grossAmount": 5000.99</t>
  </si>
  <si>
    <t xml:space="preserve">      "chargeableForeignDividends": 12500,</t>
  </si>
  <si>
    <t xml:space="preserve">      "foreignDividends": [</t>
  </si>
  <si>
    <t xml:space="preserve">          "incomeSourceType": "foreign-dividends",</t>
  </si>
  <si>
    <t xml:space="preserve">      "dividendIncomeReceivedWhilstAbroad": [</t>
  </si>
  <si>
    <t xml:space="preserve">          "countryCode": "ITA",</t>
  </si>
  <si>
    <t xml:space="preserve">    "incomeSummaryTotals": {</t>
  </si>
  <si>
    <t xml:space="preserve">      "totalSelfEmploymentProfit": 12500,</t>
  </si>
  <si>
    <t xml:space="preserve">      "totalPropertyProfit": 12500,</t>
  </si>
  <si>
    <t xml:space="preserve">      "totalFHLPropertyProfit": 12500,</t>
  </si>
  <si>
    <t xml:space="preserve">      "totalUKOtherPropertyProfit": 12500,</t>
  </si>
  <si>
    <t xml:space="preserve">      "totalForeignPropertyProfit": 12500,</t>
  </si>
  <si>
    <t xml:space="preserve">      "totalEeaFhlProfit": 12500,</t>
  </si>
  <si>
    <t xml:space="preserve">      "totalEmploymentIncome": 12500</t>
  </si>
  <si>
    <t xml:space="preserve">    "taxCalculation": {</t>
  </si>
  <si>
    <t xml:space="preserve">      "incomeTax": {</t>
  </si>
  <si>
    <t xml:space="preserve">        "totalIncomeReceivedFromAllSources": 12500,</t>
  </si>
  <si>
    <t xml:space="preserve">        "totalAllowancesAndDeductions": 12500,</t>
  </si>
  <si>
    <t xml:space="preserve">        "totalTaxableIncome": 12500,</t>
  </si>
  <si>
    <t xml:space="preserve">        "payPensionsProfit": {</t>
  </si>
  <si>
    <t xml:space="preserve">          "incomeReceived": 12500,</t>
  </si>
  <si>
    <t xml:space="preserve">          "allowancesAllocated": 12500,</t>
  </si>
  <si>
    <t xml:space="preserve">          "taxableIncome": 12500,</t>
  </si>
  <si>
    <t xml:space="preserve">          "incomeTaxAmount": 5000.99,</t>
  </si>
  <si>
    <t xml:space="preserve">          "taxBands": [</t>
  </si>
  <si>
    <t xml:space="preserve">              "name": "savings-starter-rate",</t>
  </si>
  <si>
    <t xml:space="preserve">              "income": 12500,</t>
  </si>
  <si>
    <t xml:space="preserve">              "taxAmount": 5000.99</t>
  </si>
  <si>
    <t xml:space="preserve">        "savingsAndGains": {</t>
  </si>
  <si>
    <t xml:space="preserve">        "dividends": {</t>
  </si>
  <si>
    <t xml:space="preserve">        "lumpSums": {</t>
  </si>
  <si>
    <t xml:space="preserve">        "gainsOnLifePolicies": {</t>
  </si>
  <si>
    <t xml:space="preserve">        "incomeTaxCharged": 5000.99,</t>
  </si>
  <si>
    <t xml:space="preserve">        "totalReliefs": 5000.99,</t>
  </si>
  <si>
    <t xml:space="preserve">        "incomeTaxDueAfterReliefs": -99999999999.99,</t>
  </si>
  <si>
    <t xml:space="preserve">        "totalNotionalTax": 5000.99,</t>
  </si>
  <si>
    <t xml:space="preserve">        "marriageAllowanceRelief": 5000.99,</t>
  </si>
  <si>
    <t xml:space="preserve">        "incomeTaxDueAfterTaxReductions": 5000.99,</t>
  </si>
  <si>
    <t xml:space="preserve">        "incomeTaxDueAfterGiftAid": 5000.99,</t>
  </si>
  <si>
    <t xml:space="preserve">        "totalPensionSavingsTaxCharges": 5000.99,</t>
  </si>
  <si>
    <t xml:space="preserve">        "statePensionLumpSumCharges": 5000.99,</t>
  </si>
  <si>
    <t xml:space="preserve">        "payeUnderpaymentsCodedOut": 5000.99,</t>
  </si>
  <si>
    <t xml:space="preserve">        "totalIncomeTaxDue": 5000.99,</t>
  </si>
  <si>
    <t xml:space="preserve">        "giftAidTaxChargeWhereBasicRateDiffers": 2000.58</t>
  </si>
  <si>
    <t xml:space="preserve">      "nics": {</t>
  </si>
  <si>
    <t xml:space="preserve">        "class2Nics": {</t>
  </si>
  <si>
    <t xml:space="preserve">          "weeklyRate": 5000.99,</t>
  </si>
  <si>
    <t xml:space="preserve">          "weeks": 0,</t>
  </si>
  <si>
    <t xml:space="preserve">          "limit": 12500,</t>
  </si>
  <si>
    <t xml:space="preserve">          "apportionedLimit": 12500,</t>
  </si>
  <si>
    <t xml:space="preserve">          "underSmallProfitThreshold": true,</t>
  </si>
  <si>
    <t xml:space="preserve">          "actualClass2Nic": true,</t>
  </si>
  <si>
    <t xml:space="preserve">          "underLowerProfitThreshold": false</t>
  </si>
  <si>
    <t xml:space="preserve">        "class4Nics": {</t>
  </si>
  <si>
    <t xml:space="preserve">          "totalIncomeLiableToClass4Charge": 12500,</t>
  </si>
  <si>
    <t xml:space="preserve">          "totalClass4LossesAvailable": 12500,</t>
  </si>
  <si>
    <t xml:space="preserve">          "totalClass4LossesUsed": 12500,</t>
  </si>
  <si>
    <t xml:space="preserve">          "totalClass4LossesCarriedForward": 12500,</t>
  </si>
  <si>
    <t xml:space="preserve">          "totalIncomeChargeableToClass4": 12500,</t>
  </si>
  <si>
    <t xml:space="preserve">          "totalAmount": 5000.99,</t>
  </si>
  <si>
    <t xml:space="preserve">          "nic4Bands": [</t>
  </si>
  <si>
    <t xml:space="preserve">              "name": "zero-rate",</t>
  </si>
  <si>
    <t xml:space="preserve">              "threshold": 12500,</t>
  </si>
  <si>
    <t xml:space="preserve">              "apportionedThreshold": 12500,</t>
  </si>
  <si>
    <t xml:space="preserve">              "amount": 5000.99</t>
  </si>
  <si>
    <t xml:space="preserve">        "nic2NetOfDeductions": -99999999999.99,</t>
  </si>
  <si>
    <t xml:space="preserve">        "nic4NetOfDeductions": -99999999999.99,</t>
  </si>
  <si>
    <t xml:space="preserve">        "totalNic": -99999999999.99</t>
  </si>
  <si>
    <t xml:space="preserve">      "totalTaxDeductedBeforeCodingOut": 5000.99,</t>
  </si>
  <si>
    <t xml:space="preserve">      "saUnderpaymentsCodedOut": 5000.99,</t>
  </si>
  <si>
    <t xml:space="preserve">      "totalAnnuityPaymentsTaxCharged": 12500.99,</t>
  </si>
  <si>
    <t xml:space="preserve">      "totalRoyaltyPaymentsTaxCharged": 5000.99,</t>
  </si>
  <si>
    <t xml:space="preserve">      "totalIncomeTaxNicsCharged": -99999999999.99,</t>
  </si>
  <si>
    <t xml:space="preserve">      "totalStudentLoansRepaymentAmount": 5000.99,</t>
  </si>
  <si>
    <t xml:space="preserve">      "totalTaxDeducted": -99999999999.99,</t>
  </si>
  <si>
    <t xml:space="preserve">      "totalIncomeTaxAndNicsDue": -99999999999.99,</t>
  </si>
  <si>
    <t xml:space="preserve">      "capitalGainsTax": {</t>
  </si>
  <si>
    <t xml:space="preserve">        "totalCapitalGainsIncome": 5000.99,</t>
  </si>
  <si>
    <t xml:space="preserve">        "annualExemptionAmount": 5000.99,</t>
  </si>
  <si>
    <t xml:space="preserve">        "totalTaxableGains": 5000.99,</t>
  </si>
  <si>
    <t xml:space="preserve">        "businessAssetsDisposalsAndInvestorsRel": {</t>
  </si>
  <si>
    <t xml:space="preserve">          "gainsIncome": 5000.99,</t>
  </si>
  <si>
    <t xml:space="preserve">          "lossesBroughtForward": 5000.99,</t>
  </si>
  <si>
    <t xml:space="preserve">          "lossesArisingThisYear": 5000.99,</t>
  </si>
  <si>
    <t xml:space="preserve">          "gainsAfterLosses": 5000.99,</t>
  </si>
  <si>
    <t xml:space="preserve">          "annualExemptionAmount": 5000.99,</t>
  </si>
  <si>
    <t xml:space="preserve">          "taxableGains": 5000.99,</t>
  </si>
  <si>
    <t xml:space="preserve">          "taxAmount": 5000.99</t>
  </si>
  <si>
    <t xml:space="preserve">        "residentialPropertyAndCarriedInterest": {</t>
  </si>
  <si>
    <t xml:space="preserve">          "cgtTaxBands": [</t>
  </si>
  <si>
    <t xml:space="preserve">              "name": "lower-rate",</t>
  </si>
  <si>
    <t xml:space="preserve">              "income": 5000.99,</t>
  </si>
  <si>
    <t xml:space="preserve">          ],</t>
  </si>
  <si>
    <t xml:space="preserve">          "totalTaxAmount": 5000.99</t>
  </si>
  <si>
    <t xml:space="preserve">        "otherGains": {</t>
  </si>
  <si>
    <t xml:space="preserve">          "attributedGains": 5000.99,</t>
  </si>
  <si>
    <t xml:space="preserve">          "netGains": 5000.99,</t>
  </si>
  <si>
    <t xml:space="preserve">        "capitalGainsTaxAmount": 5000.99,</t>
  </si>
  <si>
    <t xml:space="preserve">        "adjustments": -99999999999.99,</t>
  </si>
  <si>
    <t xml:space="preserve">        "adjustedCapitalGainsTax": 5000.99,</t>
  </si>
  <si>
    <t xml:space="preserve">        "foreignTaxCreditRelief": 5000.99,</t>
  </si>
  <si>
    <t xml:space="preserve">        "capitalGainsTaxAfterFTCR": 5000.99,</t>
  </si>
  <si>
    <t xml:space="preserve">        "taxOnGainsAlreadyPaid": 5000.99,</t>
  </si>
  <si>
    <t xml:space="preserve">        "capitalGainsTaxDue": 5000.99,</t>
  </si>
  <si>
    <t xml:space="preserve">        "capitalGainsOverpaid": 5000.99</t>
  </si>
  <si>
    <t xml:space="preserve">      "totalIncomeTaxAndNicsAndCgt": 5000.99</t>
  </si>
  <si>
    <t xml:space="preserve">    "previousCalculation": {</t>
  </si>
  <si>
    <t xml:space="preserve">      "calculationTimestamp": "2021-12-02T15:25:48.475Z",</t>
  </si>
  <si>
    <t xml:space="preserve">      "calculationId": "f2fb30e5-4ab6-4a29-b3c1-c7264259ff1c",</t>
  </si>
  <si>
    <t xml:space="preserve">      "cgtTaxDue": 5000.99,</t>
  </si>
  <si>
    <t xml:space="preserve">      "totalIncomeTaxAndNicsAndCgtDue": 5000.99,</t>
  </si>
  <si>
    <t xml:space="preserve">      "incomeTaxNicDueThisPeriod": -99999999999.99,</t>
  </si>
  <si>
    <t xml:space="preserve">      "cgtDueThisPeriod": 99999999999.99,</t>
  </si>
  <si>
    <t xml:space="preserve">      "totalIncomeTaxAndNicsAndCgtDueThisPeriod": 5000.99</t>
  </si>
  <si>
    <t xml:space="preserve">    "endOfYearEstimate": {</t>
  </si>
  <si>
    <t xml:space="preserve">      "incomeSource": [</t>
  </si>
  <si>
    <t xml:space="preserve">          "incomeSourceId": "XBIS12345678920",</t>
  </si>
  <si>
    <t xml:space="preserve">          "taxableIncome": 12500</t>
  </si>
  <si>
    <t xml:space="preserve">      "totalEstimatedIncome": 12500,</t>
  </si>
  <si>
    <t xml:space="preserve">      "totalTaxableIncome": 12500,</t>
  </si>
  <si>
    <t xml:space="preserve">      "incomeTaxAmount": 5000.99,</t>
  </si>
  <si>
    <t xml:space="preserve">      "nic2": 5000.99,</t>
  </si>
  <si>
    <t xml:space="preserve">      "nic4": 5000.99,</t>
  </si>
  <si>
    <t xml:space="preserve">      "totalNicAmount": 5000.99,</t>
  </si>
  <si>
    <t xml:space="preserve">      "totalAnnuityPaymentsTaxCharged": 5000.99,</t>
  </si>
  <si>
    <t xml:space="preserve">      "incomeTaxNicAmount": -99999999999.99,</t>
  </si>
  <si>
    <t xml:space="preserve">      "cgtAmount": 5000.99,</t>
  </si>
  <si>
    <t xml:space="preserve">      "incomeTaxNicAndCgtAmount": 5000.99,</t>
  </si>
  <si>
    <t xml:space="preserve">      "totalAllowancesAndDeductions": 5000</t>
  </si>
  <si>
    <t xml:space="preserve">    "lossesAndClaims": {</t>
  </si>
  <si>
    <t xml:space="preserve">      "resultOfClaimsApplied": [</t>
  </si>
  <si>
    <t xml:space="preserve">          "claimId": "0xcuS9JrW2jTa6d",</t>
  </si>
  <si>
    <t xml:space="preserve">          "originatingClaimId": "0vbyS9JrW2jTa6x",</t>
  </si>
  <si>
    <t xml:space="preserve">          "incomeSourceId": "XBIS12345678915",</t>
  </si>
  <si>
    <t xml:space="preserve">          "taxYearClaimMade": "2021-22",</t>
  </si>
  <si>
    <t xml:space="preserve">          "claimType": "carry-forward",</t>
  </si>
  <si>
    <t xml:space="preserve">          "mtdLoss": false,</t>
  </si>
  <si>
    <t xml:space="preserve">          "taxYearLossIncurred": "2020-21",</t>
  </si>
  <si>
    <t xml:space="preserve">          "lossAmountUsed": 12500,</t>
  </si>
  <si>
    <t xml:space="preserve">          "remainingLossValue": 12500,</t>
  </si>
  <si>
    <t xml:space="preserve">          "lossType": "income"</t>
  </si>
  <si>
    <t xml:space="preserve">      "unclaimedLosses": [</t>
  </si>
  <si>
    <t xml:space="preserve">          "incomeSourceId": "XBIS12345678916",</t>
  </si>
  <si>
    <t xml:space="preserve">          "currentLossValue": 12500,</t>
  </si>
  <si>
    <t xml:space="preserve">      "carriedForwardLosses": [</t>
  </si>
  <si>
    <t xml:space="preserve">          "claimId": "5xpu66JrW2jTa6c",</t>
  </si>
  <si>
    <t xml:space="preserve">          "originatingClaimId": "0vXc69prW2jTar6",</t>
  </si>
  <si>
    <t xml:space="preserve">          "incomeSourceId": "XBIS12345678917",</t>
  </si>
  <si>
    <t xml:space="preserve">      "defaultCarriedForwardLosses": [</t>
  </si>
  <si>
    <t xml:space="preserve">          "incomeSourceId": "XBIS12345678918",</t>
  </si>
  <si>
    <t xml:space="preserve">          "currentLossValue": 12500</t>
  </si>
  <si>
    <t xml:space="preserve">      "claimsNotApplied": [</t>
  </si>
  <si>
    <t xml:space="preserve">          "claimId": "6vry11JrW5jTvxt",</t>
  </si>
  <si>
    <t xml:space="preserve">          "incomeSourceId": "XBIS12345678919",</t>
  </si>
  <si>
    <t xml:space="preserve">          "claimType": "carry-forward"</t>
  </si>
  <si>
    <t xml:space="preserve">    }</t>
  </si>
  <si>
    <t xml:space="preserve">  "messages": {</t>
  </si>
  <si>
    <t xml:space="preserve">    "info": [</t>
  </si>
  <si>
    <t xml:space="preserve">        "id": "C22203",</t>
  </si>
  <si>
    <t xml:space="preserve">        "text": "Class 2 National Insurance has not been charged as your self-employed profits are under the small profit threshold."</t>
  </si>
  <si>
    <t xml:space="preserve">    "warnings": [</t>
  </si>
  <si>
    <t xml:space="preserve">        "id": "C11317",</t>
  </si>
  <si>
    <t xml:space="preserve">        "text": "Class 4 exemption - calculation has been adjusted Individual’s age is equal to or greater than 16 years old on the 6th April of current tax year"</t>
  </si>
  <si>
    <t xml:space="preserve">    "errors": [</t>
  </si>
  <si>
    <t xml:space="preserve">        "id": "C95005",</t>
  </si>
  <si>
    <t xml:space="preserve">        "text": "Final confirmation of income and expenses for all business sources has not been provided"</t>
  </si>
  <si>
    <t xml:space="preserve">  }</t>
  </si>
  <si>
    <t>}</t>
  </si>
  <si>
    <t>AI trigger for application of relief/Allowance</t>
  </si>
  <si>
    <t>Student Loan Plan 1 calculation</t>
  </si>
  <si>
    <t>Only use if last tax return has this relief claimed, and put this in tax return as well as daily calculation</t>
  </si>
  <si>
    <t>Always applied if rules are met</t>
  </si>
  <si>
    <t>Apply marriage allowance (IB will ask user if the income of the partner still remais the same)</t>
  </si>
  <si>
    <t>Trigger Loss Relief (below will tell us type of claim)</t>
  </si>
  <si>
    <t>Apply this amount to next tax return IF Carry forward method has been chosen by user last tax year</t>
  </si>
  <si>
    <t>Loss relief will be show in "claimType" - Look out for this to see how to calculate - If other rules, check loss relief tab to see how to apply of needed this year at all.</t>
  </si>
  <si>
    <t>This shows us if CIS has been claimed in the past - Would help us see if we should apply this going forward - If this is the case then we do and follow CIS relief rules.</t>
  </si>
  <si>
    <t>Apply Blind person allowance if claimed in the past (The situation of the person is not likely to change) - Also apply in daily tax calculations</t>
  </si>
  <si>
    <t>If we see this, we look at CGT loss relief rules - If "cgtLossSetAgainstInYearGeneralIncome" this would be CGT loss that will be deducted against all other income to reduce tax liability</t>
  </si>
  <si>
    <t>Loss relief here against general income - Says carry forward amount - so fuzzy matching used here to see that there is a loss to be used here.</t>
  </si>
  <si>
    <t>Shows us that Income on Foreign Dividends (Can suggest this upon setup of income)</t>
  </si>
  <si>
    <t>Shows us that Income on Foreign Savings (Can suggest this upon setup of income)</t>
  </si>
  <si>
    <t>Shows us that Income on Self Employment Income (Can suggest this upon setup of income)</t>
  </si>
  <si>
    <t>Shows us that Income on Foreign property Income (Can suggest this upon setup of income)</t>
  </si>
  <si>
    <t>Apply this amount to next tax return IF showing uncollected amount - means tax liability will be higher. Take this amount and add to liability</t>
  </si>
  <si>
    <t>Shows us that Income on Foreign Property (Can suggest this upon setup of income - We still need to ask user what type of property to apply the correct reliefs)</t>
  </si>
  <si>
    <t>Shows us the Plan for student loan - so then apply rules and to tax calculation</t>
  </si>
  <si>
    <t>Until band changes in calculation - We can apply the basic rate for extension of bands for pension and gift aid</t>
  </si>
  <si>
    <t>If this then the tax oss used last year was applied to general income.</t>
  </si>
  <si>
    <t>Trigger Loss Relief (Carried Forward claim)</t>
  </si>
  <si>
    <t>If we see Payroll ID - Assume emplyment income</t>
  </si>
  <si>
    <t>If "true" - Then PAYE needs to be deducted off tax liability.</t>
  </si>
  <si>
    <t>If "true" - Then PAYE amount shown here needs to be deducted off tax liability.</t>
  </si>
  <si>
    <t>Use Fuzzy matching to look out for these merchant names</t>
  </si>
  <si>
    <t>Shows us that Income on savings income (Can suggest this upon setup of income)</t>
  </si>
  <si>
    <t>Shows us that Income on dividends income (Can suggest this upon setup of income)</t>
  </si>
  <si>
    <t>Then recommend Self Employment income as main source of income - upon setup</t>
  </si>
  <si>
    <t>Then recommend Property income as main source of income - upon setup</t>
  </si>
  <si>
    <t>Then recommend Property income (FHL) as main source of income - upon setup</t>
  </si>
  <si>
    <t>Then recommend Property income as main source of income - upon setup - But ask user for details</t>
  </si>
  <si>
    <t>Then recommend Foreign Property income as main source of income - upon setup - But ask user for details</t>
  </si>
  <si>
    <t>Then recommend Foreign Property income (FHL) as main source of income - upon setup</t>
  </si>
  <si>
    <t>Don’t recommend - If an amount is here, just apply this to income and ensure to lookout for PAYE</t>
  </si>
  <si>
    <t>Put this in tax return as well as daily calculation</t>
  </si>
  <si>
    <t>Put this in tax return as well as daily calculation - Just pick up total gross amount from HMRC API this current year (Check GET from HMRC API pull of data)</t>
  </si>
  <si>
    <t>Take this amount for analysis purporses (store it to compare to daily tax calculation forecast) - Tell user what is driving change and see if more contributions can be made to reduce.</t>
  </si>
  <si>
    <t>Take this rate times the weeks in below to get NIC paid last year</t>
  </si>
  <si>
    <t>Take this rate times the above in below to get NIC paid last year</t>
  </si>
  <si>
    <t>For analysis and comparison purposes</t>
  </si>
  <si>
    <t>If we see this from last return (Suggect capital gains income as a choice of income type)</t>
  </si>
  <si>
    <t>Loss relief rules means carry forward to this year</t>
  </si>
  <si>
    <t>Look out for this to see if any losses will be applied this year - See loss relief rules</t>
  </si>
  <si>
    <t>Look out for this to see if any losses will be applied this year - Store this amount for loss relief amount and how much we have available - See loss relief rules</t>
  </si>
  <si>
    <t>Look out for this to see if any losses will be applied this year - Store this amount for loss relief amount and how much we have available to use for this year - See loss relief rules</t>
  </si>
  <si>
    <t>Asset Type (within commercial property)</t>
  </si>
  <si>
    <t>AIA Eligible?</t>
  </si>
  <si>
    <t>If AIA Used Up → Pool</t>
  </si>
  <si>
    <t>Electrical systems (wiring, lighting circuits, sockets)</t>
  </si>
  <si>
    <t>Integral feature.</t>
  </si>
  <si>
    <t>Cold water systems (plumbing, pipes, tanks)</t>
  </si>
  <si>
    <t>Space and water heating systems (boilers, radiators, hot water)</t>
  </si>
  <si>
    <t>Air-conditioning and air cooling systems</t>
  </si>
  <si>
    <t>Lifts, escalators, moving walkways</t>
  </si>
  <si>
    <t>External solar shading</t>
  </si>
  <si>
    <t>Security systems (CCTV, alarms, access systems)</t>
  </si>
  <si>
    <t>Not integral; treated as plant.</t>
  </si>
  <si>
    <t>Fire safety systems (smoke alarms, sprinklers, detectors)</t>
  </si>
  <si>
    <t>Treated as plant.</t>
  </si>
  <si>
    <t>Loose furniture (desks, chairs, shelving, storage)</t>
  </si>
  <si>
    <t>If landlord provides for tenants.</t>
  </si>
  <si>
    <t>Computer/IT systems installed in property</t>
  </si>
  <si>
    <t>Servers, routers, network cabling.</t>
  </si>
  <si>
    <t>Machinery installed (e.g., workshop equipment in factory)</t>
  </si>
  <si>
    <t>Plant &amp; machinery definition.</t>
  </si>
  <si>
    <t>Integral solar panels (roof-mounted, permanent)</t>
  </si>
  <si>
    <t>Renewable energy asset.</t>
  </si>
  <si>
    <t>Land &amp; building structure (walls, roofs, floors, windows, doors)</t>
  </si>
  <si>
    <t>Structures &amp; Buildings Allowance (3% p.a.)</t>
  </si>
  <si>
    <t>No AIA, no pooling.</t>
  </si>
  <si>
    <t>Shop fronts, signage, advertising boards</t>
  </si>
  <si>
    <t>SBA (3% p.a.)</t>
  </si>
  <si>
    <t>Considered part of building structure.</t>
  </si>
  <si>
    <t>Car parks, driveways, landscaping</t>
  </si>
  <si>
    <t>Not allowable</t>
  </si>
  <si>
    <t>Not plant &amp; machinery.</t>
  </si>
  <si>
    <t>Decorative assets (painting, wallpaper, tiling)</t>
  </si>
  <si>
    <t>Repairs may be deductible as revenue instead.</t>
  </si>
  <si>
    <t>How to calculate?</t>
  </si>
  <si>
    <t>Car 0 CO₂ &amp; Brand New</t>
  </si>
  <si>
    <t>Cars never qualify for AIA. If ≤50g/km CO₂ then FYA</t>
  </si>
  <si>
    <t>Full amount can be deducted from taxable profits</t>
  </si>
  <si>
    <t>Car 0 g/km CO₂ &amp; Used</t>
  </si>
  <si>
    <t xml:space="preserve">Main Pool (18%) </t>
  </si>
  <si>
    <t>Cars never qualify for AIA.</t>
  </si>
  <si>
    <t>Put full thing into main pool pot b/f balance  - This is where 18% will be deducted per year.</t>
  </si>
  <si>
    <t>Car  1 g/km &gt;= ≤ 50g/km CO₂</t>
  </si>
  <si>
    <t>Put full cost into main pool pot b/f balance  - This is where 18% will be deducted from taxable profits per year.</t>
  </si>
  <si>
    <t>Car &gt;50g/km CO₂</t>
  </si>
  <si>
    <t>Put full cost into special rate pool pot b/f balance  - This is where 6% will be deducted per year.</t>
  </si>
  <si>
    <t>Car (Partial Business use)</t>
  </si>
  <si>
    <t>If partial business use ALWAYS create own pool - take business percentage specified and multiply by 18%.</t>
  </si>
  <si>
    <t>Van 0 CO₂ &amp; Brand New</t>
  </si>
  <si>
    <t>First Year Allowance (FYA) if electric. If brand new then FYA, if not then AIA.</t>
  </si>
  <si>
    <t>Van 0 g/km CO₂ &amp; Used</t>
  </si>
  <si>
    <t>Only goes to Main pool if AIA is all used up</t>
  </si>
  <si>
    <t>Van  1 g/km &gt;= ≤ 50g/km CO₂</t>
  </si>
  <si>
    <t>Van &gt;50g/km CO₂</t>
  </si>
  <si>
    <t>Only goes to Special pool if AIA is all used up</t>
  </si>
  <si>
    <t>Put full thing into special rate pool pot b/f balance  - This is where 6% will be deducted per year.</t>
  </si>
  <si>
    <t>Van (Partial Business use)</t>
  </si>
  <si>
    <t>Always qualifies.</t>
  </si>
  <si>
    <t>Standard plant &amp; machinery.</t>
  </si>
  <si>
    <t>PCs, laptops, servers.</t>
  </si>
  <si>
    <t>Desks, chairs, cabinets.</t>
  </si>
  <si>
    <t>Routers, printers, monitors.</t>
  </si>
  <si>
    <t>Phone systems, cabling.</t>
  </si>
  <si>
    <t>Counters, shelving, displays.</t>
  </si>
  <si>
    <t>CCTV, alarms, access systems.</t>
  </si>
  <si>
    <t>FYA possible if qualifying.</t>
  </si>
  <si>
    <t>Heating and Air-Conditioning Units</t>
  </si>
  <si>
    <t>Only if capital in nature.</t>
  </si>
  <si>
    <t>If movable/illuminated, may qualify as plant.</t>
  </si>
  <si>
    <t>Check SBA rules</t>
  </si>
  <si>
    <t>Standard treatment.</t>
  </si>
  <si>
    <t>Cookers, ovens, fridges.</t>
  </si>
  <si>
    <t>EPOS machines, tills.</t>
  </si>
  <si>
    <t>Racking, shelving.</t>
  </si>
  <si>
    <t>Drone or Surveying Equipment</t>
  </si>
  <si>
    <t>FYA if business use only.</t>
  </si>
  <si>
    <t>Laboratory, medical devices.</t>
  </si>
  <si>
    <t>Qualifies for AIA.</t>
  </si>
  <si>
    <t>If capitalised, else revenue deduction.</t>
  </si>
  <si>
    <t>Calculation for IB</t>
  </si>
  <si>
    <t>Put full cost into main pool pot b/f balance  - This is where 6% will be deducted from taxable profits per year.</t>
  </si>
  <si>
    <t>selfEmployment.expenses.entertaining</t>
  </si>
  <si>
    <t>selfEmployment.expenses.adminCosts</t>
  </si>
  <si>
    <t>selfEmployment.expenses.staffWelfare</t>
  </si>
  <si>
    <t>selfEmployment.expenses.trainingCourses</t>
  </si>
  <si>
    <t>selfEmployment.expenses.other</t>
  </si>
  <si>
    <t>selfEmployment.expenses.carriage</t>
  </si>
  <si>
    <t>selfEmployment.expenses.businessGift</t>
  </si>
  <si>
    <t>capitalGains.disposals.proceeds</t>
  </si>
  <si>
    <t>interest.incomeFromUkBanksAndBuildingSocieties</t>
  </si>
  <si>
    <t>pension.incomeAnnuities</t>
  </si>
  <si>
    <t>selfEmployment.expenses.advertisingOrMarketing</t>
  </si>
  <si>
    <t>selfEmployment.expenses.premisesRunningCosts</t>
  </si>
  <si>
    <t>selfEmployment.expenses.motorExpenses</t>
  </si>
  <si>
    <t>selfEmployment.expenses.travelCosts</t>
  </si>
  <si>
    <t>selfEmployment.expenses.financialCharges</t>
  </si>
  <si>
    <t>selfEmployment.expenses.commissions</t>
  </si>
  <si>
    <t>selfEmployment.expenses.professionalFees</t>
  </si>
  <si>
    <t>selfEmployment.expenses.interestOnBankOtherLoans</t>
  </si>
  <si>
    <t>pensions.reliefAtSource</t>
  </si>
  <si>
    <t>selfEmployment.expenses.insurance</t>
  </si>
  <si>
    <t>selfEmployment.expenses.staffCosts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</si>
</sst>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44" formatCode="_-&quot;£&quot;* #,##0.00_-;\-&quot;£&quot;* #,##0.00_-;_-&quot;£&quot;* &quot;-&quot;??_-;_-@_-"/>
    <numFmt numFmtId="43" formatCode="_-* #,##0.00_-;\-* #,##0.00_-;_-* &quot;-&quot;??_-;_-@_-"/>
    <numFmt numFmtId="164" formatCode="_-[$£-809]* #,##0.00_-;\-[$£-809]* #,##0.00_-;_-[$£-809]* &quot;-&quot;??_-;_-@_-"/>
  </numFmts>
  <fonts count="41"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b/>
      <sz val="11"/>
      <color theme="3" tint="0.499984740745262"/>
      <name val="Aptos Narrow"/>
      <family val="2"/>
      <scheme val="minor"/>
    </font>
    <font>
      <sz val="11"/>
      <color theme="3" tint="0.499984740745262"/>
      <name val="Aptos Narrow"/>
      <family val="2"/>
      <scheme val="minor"/>
    </font>
    <font>
      <b/>
      <sz val="11"/>
      <color rgb="FF00B050"/>
      <name val="Aptos Narrow"/>
      <family val="2"/>
      <scheme val="minor"/>
    </font>
    <font>
      <sz val="11"/>
      <color rgb="FF00B050"/>
      <name val="Aptos Narrow"/>
      <family val="2"/>
      <scheme val="minor"/>
    </font>
    <font>
      <i/>
      <sz val="11"/>
      <color rgb="FFFF0000"/>
      <name val="Aptos Narrow"/>
      <family val="2"/>
      <scheme val="minor"/>
    </font>
    <font>
      <b/>
      <sz val="9"/>
      <color indexed="81"/>
      <name val="Tahoma"/>
      <family val="2"/>
    </font>
    <font>
      <sz val="9"/>
      <color indexed="81"/>
      <name val="Tahoma"/>
      <family val="2"/>
    </font>
    <font>
      <sz val="11"/>
      <color theme="1"/>
      <name val="Aptos Narrow"/>
      <family val="2"/>
      <scheme val="minor"/>
    </font>
    <font>
      <sz val="11"/>
      <color theme="9"/>
      <name val="Aptos Narrow"/>
      <family val="2"/>
      <scheme val="minor"/>
    </font>
    <font>
      <b/>
      <sz val="14"/>
      <color theme="1"/>
      <name val="Aptos Narrow"/>
      <family val="2"/>
      <scheme val="minor"/>
    </font>
    <font>
      <sz val="11"/>
      <color theme="1"/>
      <name val="Cambria"/>
      <family val="1"/>
    </font>
    <font>
      <b/>
      <sz val="11"/>
      <color theme="1"/>
      <name val="Cambria"/>
      <family val="1"/>
    </font>
    <font>
      <b/>
      <sz val="13"/>
      <color rgb="FF4F81BD"/>
      <name val="Calibri"/>
      <family val="2"/>
    </font>
    <font>
      <b/>
      <sz val="13"/>
      <name val="Calibri"/>
      <family val="2"/>
    </font>
    <font>
      <sz val="11"/>
      <color rgb="FFFF0000"/>
      <name val="Cambria"/>
      <family val="1"/>
    </font>
    <font>
      <b/>
      <u/>
      <sz val="11"/>
      <color theme="1"/>
      <name val="Aptos Narrow"/>
      <family val="2"/>
      <scheme val="minor"/>
    </font>
    <font>
      <b/>
      <u/>
      <sz val="12"/>
      <color theme="1"/>
      <name val="Aptos Narrow"/>
      <family val="2"/>
      <scheme val="minor"/>
    </font>
    <font>
      <b/>
      <sz val="14"/>
      <color rgb="FF365F91"/>
      <name val="Calibri"/>
      <family val="2"/>
    </font>
    <font>
      <b/>
      <i/>
      <u/>
      <sz val="11"/>
      <color rgb="FFFF0000"/>
      <name val="Aptos Narrow"/>
      <family val="2"/>
      <scheme val="minor"/>
    </font>
    <font>
      <b/>
      <sz val="18"/>
      <color theme="1"/>
      <name val="Aptos Narrow"/>
      <family val="2"/>
      <scheme val="minor"/>
    </font>
    <font>
      <i/>
      <sz val="11"/>
      <color theme="1"/>
      <name val="Aptos Narrow"/>
      <family val="2"/>
      <scheme val="minor"/>
    </font>
    <font>
      <b/>
      <sz val="12"/>
      <color theme="1"/>
      <name val="Aptos Narrow"/>
      <family val="2"/>
      <scheme val="minor"/>
    </font>
    <font>
      <sz val="12"/>
      <color theme="1"/>
      <name val="Aptos"/>
      <family val="2"/>
    </font>
    <font>
      <sz val="10"/>
      <color theme="1"/>
      <name val="Arial Unicode MS"/>
    </font>
    <font>
      <b/>
      <sz val="16"/>
      <color theme="1"/>
      <name val="Aptos Narrow"/>
      <family val="2"/>
      <scheme val="minor"/>
    </font>
    <font>
      <b/>
      <sz val="24"/>
      <color theme="1"/>
      <name val="Aptos Narrow"/>
      <family val="2"/>
      <scheme val="minor"/>
    </font>
    <font>
      <b/>
      <sz val="18"/>
      <color rgb="FF365F91"/>
      <name val="Calibri"/>
      <family val="2"/>
    </font>
    <font>
      <b/>
      <sz val="14"/>
      <name val="Calibri"/>
      <family val="2"/>
    </font>
    <font>
      <sz val="11"/>
      <name val="Aptos Narrow"/>
      <family val="2"/>
      <scheme val="minor"/>
    </font>
    <font>
      <sz val="11"/>
      <name val="Cambria"/>
      <family val="1"/>
    </font>
    <font>
      <sz val="13.5"/>
      <color rgb="FF000000"/>
      <name val="Aptos"/>
      <family val="2"/>
    </font>
    <font>
      <b/>
      <sz val="16"/>
      <name val="Calibri"/>
      <family val="2"/>
    </font>
    <font>
      <sz val="13.5"/>
      <name val="Aptos"/>
      <family val="2"/>
    </font>
    <font>
      <b/>
      <sz val="15"/>
      <name val="Calibri"/>
      <family val="2"/>
    </font>
    <font>
      <b/>
      <sz val="13.5"/>
      <color rgb="FF000000"/>
      <name val="Aptos"/>
      <family val="2"/>
    </font>
    <font>
      <b/>
      <sz val="13.5"/>
      <name val="Aptos"/>
      <family val="2"/>
    </font>
    <font>
      <b/>
      <sz val="11"/>
      <name val="Aptos Narrow"/>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s>
  <cellStyleXfs count="3">
    <xf numFmtId="0" fontId="0" fillId="0" borderId="0"/>
    <xf numFmtId="43" fontId="11" fillId="0" borderId="0" applyFont="0" applyFill="0" applyBorder="0" applyAlignment="0" applyProtection="0"/>
    <xf numFmtId="44" fontId="11" fillId="0" borderId="0" applyFont="0" applyFill="0" applyBorder="0" applyAlignment="0" applyProtection="0"/>
  </cellStyleXfs>
  <cellXfs count="254">
    <xf numFmtId="0" fontId="0" fillId="0" borderId="0" xfId="0"/>
    <xf numFmtId="0" fontId="2" fillId="0" borderId="0" xfId="0" applyFont="1"/>
    <xf numFmtId="0" fontId="3" fillId="0" borderId="0" xfId="0" applyFont="1"/>
    <xf numFmtId="0" fontId="1" fillId="0" borderId="0" xfId="0" applyFont="1"/>
    <xf numFmtId="0" fontId="0" fillId="0" borderId="0" xfId="0" applyAlignment="1">
      <alignment horizontal="center"/>
    </xf>
    <xf numFmtId="0" fontId="2" fillId="0" borderId="0" xfId="0" applyFont="1" applyAlignment="1">
      <alignment horizontal="center"/>
    </xf>
    <xf numFmtId="0" fontId="8" fillId="0" borderId="0" xfId="0" applyFont="1"/>
    <xf numFmtId="6" fontId="0" fillId="0" borderId="0" xfId="0" applyNumberFormat="1"/>
    <xf numFmtId="0" fontId="2" fillId="0" borderId="1" xfId="0" applyFont="1" applyBorder="1" applyAlignment="1">
      <alignment horizontal="center" vertical="top"/>
    </xf>
    <xf numFmtId="0" fontId="13" fillId="0" borderId="3" xfId="0" applyFont="1" applyBorder="1"/>
    <xf numFmtId="0" fontId="14" fillId="0" borderId="0" xfId="0" applyFont="1" applyAlignment="1">
      <alignment vertical="center"/>
    </xf>
    <xf numFmtId="43" fontId="0" fillId="0" borderId="0" xfId="1" applyFont="1"/>
    <xf numFmtId="43" fontId="0" fillId="0" borderId="0" xfId="0" applyNumberFormat="1"/>
    <xf numFmtId="0" fontId="2" fillId="3" borderId="0" xfId="0" applyFont="1" applyFill="1"/>
    <xf numFmtId="0" fontId="0" fillId="3" borderId="0" xfId="0" applyFill="1"/>
    <xf numFmtId="0" fontId="2" fillId="4" borderId="0" xfId="0" applyFont="1" applyFill="1"/>
    <xf numFmtId="0" fontId="0" fillId="4" borderId="0" xfId="0" applyFill="1"/>
    <xf numFmtId="43" fontId="13" fillId="0" borderId="3" xfId="1" applyFont="1" applyBorder="1"/>
    <xf numFmtId="43" fontId="2" fillId="0" borderId="0" xfId="1" applyFont="1"/>
    <xf numFmtId="43" fontId="2" fillId="4" borderId="0" xfId="1" applyFont="1" applyFill="1"/>
    <xf numFmtId="43" fontId="0" fillId="4" borderId="0" xfId="1" applyFont="1" applyFill="1"/>
    <xf numFmtId="43" fontId="2" fillId="4" borderId="4" xfId="1" applyFont="1" applyFill="1" applyBorder="1"/>
    <xf numFmtId="0" fontId="15" fillId="0" borderId="5" xfId="0" applyFont="1" applyBorder="1" applyAlignment="1">
      <alignment horizontal="center" vertical="center"/>
    </xf>
    <xf numFmtId="0" fontId="15" fillId="0" borderId="7" xfId="0" applyFont="1" applyBorder="1" applyAlignment="1">
      <alignment horizontal="center" vertical="center"/>
    </xf>
    <xf numFmtId="0" fontId="14" fillId="0" borderId="8" xfId="0" applyFont="1" applyBorder="1" applyAlignment="1">
      <alignment horizontal="center" vertical="center"/>
    </xf>
    <xf numFmtId="9" fontId="14" fillId="0" borderId="9" xfId="0" applyNumberFormat="1" applyFont="1" applyBorder="1" applyAlignment="1">
      <alignment horizontal="center" vertical="center"/>
    </xf>
    <xf numFmtId="0" fontId="14" fillId="0" borderId="10" xfId="0" applyFont="1" applyBorder="1" applyAlignment="1">
      <alignment horizontal="center" vertical="center"/>
    </xf>
    <xf numFmtId="9" fontId="14" fillId="0" borderId="11" xfId="0" applyNumberFormat="1" applyFont="1" applyBorder="1" applyAlignment="1">
      <alignment horizontal="center" vertical="center"/>
    </xf>
    <xf numFmtId="43" fontId="2" fillId="4" borderId="1" xfId="1" applyFont="1" applyFill="1" applyBorder="1"/>
    <xf numFmtId="0" fontId="15" fillId="0" borderId="6" xfId="0" applyFont="1" applyBorder="1" applyAlignment="1">
      <alignment vertical="center"/>
    </xf>
    <xf numFmtId="0" fontId="14" fillId="0" borderId="2" xfId="0" applyFont="1" applyBorder="1" applyAlignment="1">
      <alignment vertical="center"/>
    </xf>
    <xf numFmtId="43" fontId="0" fillId="3" borderId="0" xfId="1" applyFont="1" applyFill="1" applyAlignment="1"/>
    <xf numFmtId="43" fontId="2" fillId="3" borderId="4" xfId="0" applyNumberFormat="1" applyFont="1" applyFill="1" applyBorder="1"/>
    <xf numFmtId="43" fontId="0" fillId="3" borderId="0" xfId="0" applyNumberFormat="1" applyFill="1"/>
    <xf numFmtId="43" fontId="2" fillId="3" borderId="0" xfId="0" applyNumberFormat="1" applyFont="1" applyFill="1"/>
    <xf numFmtId="43" fontId="2" fillId="3" borderId="1" xfId="1" applyFont="1" applyFill="1" applyBorder="1" applyAlignment="1"/>
    <xf numFmtId="43" fontId="0" fillId="0" borderId="0" xfId="1" applyFont="1" applyBorder="1"/>
    <xf numFmtId="0" fontId="14" fillId="0" borderId="0" xfId="0" applyFont="1" applyAlignment="1">
      <alignment vertical="center" wrapText="1"/>
    </xf>
    <xf numFmtId="9" fontId="14" fillId="0" borderId="0" xfId="0" applyNumberFormat="1" applyFont="1" applyAlignment="1">
      <alignment vertical="center" wrapText="1"/>
    </xf>
    <xf numFmtId="10" fontId="14" fillId="0" borderId="0" xfId="0" applyNumberFormat="1" applyFont="1" applyAlignment="1">
      <alignment vertical="center" wrapText="1"/>
    </xf>
    <xf numFmtId="0" fontId="15" fillId="0" borderId="0" xfId="0" applyFont="1" applyAlignment="1">
      <alignment vertical="center" wrapText="1"/>
    </xf>
    <xf numFmtId="0" fontId="15" fillId="0" borderId="5" xfId="0" applyFont="1" applyBorder="1" applyAlignment="1">
      <alignment vertical="center" wrapText="1"/>
    </xf>
    <xf numFmtId="0" fontId="15" fillId="0" borderId="6" xfId="0" applyFont="1" applyBorder="1" applyAlignment="1">
      <alignment vertical="center" wrapText="1"/>
    </xf>
    <xf numFmtId="0" fontId="15" fillId="0" borderId="7" xfId="0" applyFont="1" applyBorder="1" applyAlignment="1">
      <alignment vertical="center" wrapText="1"/>
    </xf>
    <xf numFmtId="0" fontId="14" fillId="0" borderId="8" xfId="0" applyFont="1" applyBorder="1" applyAlignment="1">
      <alignment vertical="center" wrapText="1"/>
    </xf>
    <xf numFmtId="9" fontId="14" fillId="0" borderId="9" xfId="0" applyNumberFormat="1" applyFont="1" applyBorder="1" applyAlignment="1">
      <alignment vertical="center" wrapText="1"/>
    </xf>
    <xf numFmtId="0" fontId="14" fillId="0" borderId="10" xfId="0" applyFont="1" applyBorder="1" applyAlignment="1">
      <alignment vertical="center" wrapText="1"/>
    </xf>
    <xf numFmtId="0" fontId="14" fillId="0" borderId="2" xfId="0" applyFont="1" applyBorder="1" applyAlignment="1">
      <alignment vertical="center" wrapText="1"/>
    </xf>
    <xf numFmtId="9" fontId="14" fillId="0" borderId="11" xfId="0" applyNumberFormat="1" applyFont="1" applyBorder="1" applyAlignment="1">
      <alignment vertical="center" wrapText="1"/>
    </xf>
    <xf numFmtId="0" fontId="0" fillId="5" borderId="0" xfId="0" applyFill="1"/>
    <xf numFmtId="9" fontId="14" fillId="0" borderId="0" xfId="0" applyNumberFormat="1" applyFont="1" applyAlignment="1">
      <alignment horizontal="left" vertical="center" wrapText="1"/>
    </xf>
    <xf numFmtId="0" fontId="16" fillId="0" borderId="0" xfId="0" applyFont="1" applyAlignment="1">
      <alignment vertical="center"/>
    </xf>
    <xf numFmtId="0" fontId="17" fillId="0" borderId="0" xfId="0" applyFont="1" applyAlignment="1">
      <alignment vertical="center"/>
    </xf>
    <xf numFmtId="0" fontId="14" fillId="0" borderId="0" xfId="0" quotePrefix="1" applyFont="1" applyAlignment="1">
      <alignment vertical="center"/>
    </xf>
    <xf numFmtId="0" fontId="18" fillId="0" borderId="0" xfId="0" applyFont="1" applyAlignment="1">
      <alignment vertical="center"/>
    </xf>
    <xf numFmtId="43" fontId="1" fillId="0" borderId="0" xfId="1" applyFont="1"/>
    <xf numFmtId="0" fontId="0" fillId="6" borderId="0" xfId="0" applyFill="1"/>
    <xf numFmtId="0" fontId="0" fillId="7" borderId="0" xfId="0" applyFill="1"/>
    <xf numFmtId="0" fontId="0" fillId="8" borderId="0" xfId="0" applyFill="1"/>
    <xf numFmtId="0" fontId="0" fillId="5" borderId="8" xfId="0" applyFill="1" applyBorder="1"/>
    <xf numFmtId="0" fontId="0" fillId="5" borderId="9" xfId="0" applyFill="1" applyBorder="1"/>
    <xf numFmtId="0" fontId="0" fillId="5" borderId="10" xfId="0" applyFill="1" applyBorder="1"/>
    <xf numFmtId="0" fontId="0" fillId="5" borderId="11" xfId="0" applyFill="1" applyBorder="1"/>
    <xf numFmtId="0" fontId="0" fillId="4" borderId="8" xfId="0" applyFill="1" applyBorder="1"/>
    <xf numFmtId="0" fontId="0" fillId="4" borderId="9" xfId="0" applyFill="1" applyBorder="1"/>
    <xf numFmtId="0" fontId="0" fillId="4" borderId="10" xfId="0" applyFill="1" applyBorder="1"/>
    <xf numFmtId="0" fontId="0" fillId="4" borderId="11" xfId="0" applyFill="1" applyBorder="1"/>
    <xf numFmtId="0" fontId="0" fillId="6" borderId="8" xfId="0" applyFill="1" applyBorder="1"/>
    <xf numFmtId="0" fontId="0" fillId="6" borderId="9" xfId="0" applyFill="1" applyBorder="1"/>
    <xf numFmtId="0" fontId="0" fillId="6" borderId="10" xfId="0" applyFill="1" applyBorder="1"/>
    <xf numFmtId="0" fontId="0" fillId="6" borderId="11" xfId="0" applyFill="1" applyBorder="1"/>
    <xf numFmtId="0" fontId="0" fillId="7" borderId="8" xfId="0" applyFill="1" applyBorder="1"/>
    <xf numFmtId="0" fontId="0" fillId="7" borderId="9" xfId="0" applyFill="1" applyBorder="1"/>
    <xf numFmtId="0" fontId="0" fillId="7" borderId="10" xfId="0" applyFill="1" applyBorder="1"/>
    <xf numFmtId="0" fontId="0" fillId="7" borderId="11" xfId="0" applyFill="1" applyBorder="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8" borderId="8" xfId="0" applyFill="1" applyBorder="1"/>
    <xf numFmtId="0" fontId="0" fillId="8" borderId="9" xfId="0" applyFill="1" applyBorder="1"/>
    <xf numFmtId="0" fontId="0" fillId="8" borderId="10" xfId="0" applyFill="1" applyBorder="1"/>
    <xf numFmtId="0" fontId="0" fillId="8" borderId="11" xfId="0" applyFill="1" applyBorder="1"/>
    <xf numFmtId="0" fontId="0" fillId="5" borderId="1" xfId="0" applyFill="1" applyBorder="1"/>
    <xf numFmtId="0" fontId="0" fillId="4" borderId="1" xfId="0" applyFill="1" applyBorder="1"/>
    <xf numFmtId="0" fontId="0" fillId="6" borderId="1" xfId="0" applyFill="1" applyBorder="1"/>
    <xf numFmtId="0" fontId="0" fillId="7" borderId="1" xfId="0" applyFill="1" applyBorder="1"/>
    <xf numFmtId="0" fontId="0" fillId="3" borderId="1" xfId="0" applyFill="1" applyBorder="1"/>
    <xf numFmtId="0" fontId="0" fillId="8" borderId="1" xfId="0" applyFill="1" applyBorder="1"/>
    <xf numFmtId="0" fontId="19" fillId="0" borderId="0" xfId="0" applyFont="1"/>
    <xf numFmtId="0" fontId="20" fillId="0" borderId="0" xfId="0" applyFont="1"/>
    <xf numFmtId="0" fontId="0" fillId="0" borderId="0" xfId="0" applyAlignment="1">
      <alignment vertical="center"/>
    </xf>
    <xf numFmtId="0" fontId="21" fillId="0" borderId="0" xfId="0" applyFont="1" applyAlignment="1">
      <alignment vertical="center"/>
    </xf>
    <xf numFmtId="0" fontId="0" fillId="0" borderId="0" xfId="0" applyAlignment="1">
      <alignment vertical="center" wrapText="1"/>
    </xf>
    <xf numFmtId="0" fontId="22" fillId="0" borderId="0" xfId="0" applyFont="1"/>
    <xf numFmtId="0" fontId="0" fillId="0" borderId="5"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2" fillId="0" borderId="0" xfId="0" applyFont="1" applyAlignment="1">
      <alignment horizontal="center" vertical="center" wrapText="1"/>
    </xf>
    <xf numFmtId="0" fontId="2" fillId="0" borderId="0" xfId="0" applyFont="1" applyAlignment="1">
      <alignment vertical="center" wrapText="1"/>
    </xf>
    <xf numFmtId="0" fontId="23" fillId="0" borderId="0" xfId="0" applyFont="1" applyAlignment="1">
      <alignment vertical="center"/>
    </xf>
    <xf numFmtId="0" fontId="0" fillId="0" borderId="2" xfId="0" applyBorder="1"/>
    <xf numFmtId="164" fontId="2" fillId="0" borderId="0" xfId="0" applyNumberFormat="1" applyFont="1"/>
    <xf numFmtId="44" fontId="0" fillId="0" borderId="0" xfId="2" applyFont="1"/>
    <xf numFmtId="0" fontId="24" fillId="0" borderId="0" xfId="0" applyFont="1"/>
    <xf numFmtId="0" fontId="25" fillId="0" borderId="0" xfId="0" applyFont="1"/>
    <xf numFmtId="0" fontId="0" fillId="11" borderId="0" xfId="0" applyFill="1"/>
    <xf numFmtId="0" fontId="2" fillId="0" borderId="8" xfId="0" applyFont="1" applyBorder="1"/>
    <xf numFmtId="0" fontId="0" fillId="0" borderId="0" xfId="0" applyAlignment="1">
      <alignment horizontal="left" vertical="top"/>
    </xf>
    <xf numFmtId="0" fontId="0" fillId="0" borderId="9" xfId="0" applyBorder="1" applyAlignment="1">
      <alignment horizontal="left" vertical="top"/>
    </xf>
    <xf numFmtId="0" fontId="0" fillId="0" borderId="0" xfId="0" applyAlignment="1">
      <alignment vertical="top"/>
    </xf>
    <xf numFmtId="0" fontId="0" fillId="0" borderId="9" xfId="0" applyBorder="1" applyAlignment="1">
      <alignment vertical="top"/>
    </xf>
    <xf numFmtId="0" fontId="0" fillId="0" borderId="0" xfId="0" applyAlignment="1">
      <alignment horizontal="left" vertical="center" indent="1"/>
    </xf>
    <xf numFmtId="0" fontId="0" fillId="0" borderId="0" xfId="0" applyAlignment="1">
      <alignment wrapText="1"/>
    </xf>
    <xf numFmtId="0" fontId="2" fillId="0" borderId="0" xfId="0" applyFont="1" applyAlignment="1">
      <alignment wrapText="1"/>
    </xf>
    <xf numFmtId="0" fontId="0" fillId="0" borderId="1" xfId="0" applyBorder="1" applyAlignment="1">
      <alignment wrapText="1"/>
    </xf>
    <xf numFmtId="0" fontId="0" fillId="0" borderId="1" xfId="0" applyBorder="1" applyAlignment="1">
      <alignment horizontal="center" vertical="center" wrapText="1"/>
    </xf>
    <xf numFmtId="0" fontId="2" fillId="11" borderId="0" xfId="0" applyFont="1" applyFill="1" applyAlignment="1">
      <alignment wrapText="1"/>
    </xf>
    <xf numFmtId="0" fontId="0" fillId="11" borderId="0" xfId="0" applyFill="1" applyAlignment="1">
      <alignment wrapText="1"/>
    </xf>
    <xf numFmtId="0" fontId="6" fillId="11" borderId="0" xfId="0" applyFont="1" applyFill="1" applyAlignment="1">
      <alignment wrapText="1"/>
    </xf>
    <xf numFmtId="0" fontId="7" fillId="11" borderId="0" xfId="0" applyFont="1" applyFill="1" applyAlignment="1">
      <alignment wrapText="1"/>
    </xf>
    <xf numFmtId="0" fontId="4" fillId="11" borderId="0" xfId="0" applyFont="1" applyFill="1" applyAlignment="1">
      <alignment wrapText="1"/>
    </xf>
    <xf numFmtId="0" fontId="5" fillId="11" borderId="0" xfId="0" applyFont="1" applyFill="1" applyAlignment="1">
      <alignment wrapText="1"/>
    </xf>
    <xf numFmtId="0" fontId="3" fillId="11" borderId="0" xfId="0" applyFont="1" applyFill="1" applyAlignment="1">
      <alignment wrapText="1"/>
    </xf>
    <xf numFmtId="0" fontId="1" fillId="11" borderId="0" xfId="0" applyFont="1" applyFill="1" applyAlignment="1">
      <alignment wrapText="1"/>
    </xf>
    <xf numFmtId="0" fontId="0" fillId="0" borderId="1" xfId="0" applyBorder="1"/>
    <xf numFmtId="0" fontId="13" fillId="11" borderId="3" xfId="0" applyFont="1" applyFill="1" applyBorder="1"/>
    <xf numFmtId="43" fontId="13" fillId="11" borderId="3" xfId="1" applyFont="1" applyFill="1" applyBorder="1"/>
    <xf numFmtId="0" fontId="26" fillId="11" borderId="0" xfId="0" applyFont="1" applyFill="1" applyAlignment="1">
      <alignment vertical="center"/>
    </xf>
    <xf numFmtId="0" fontId="0" fillId="11" borderId="1" xfId="0" applyFill="1" applyBorder="1" applyAlignment="1">
      <alignment vertical="center" wrapText="1"/>
    </xf>
    <xf numFmtId="0" fontId="1" fillId="11" borderId="1" xfId="0" applyFont="1" applyFill="1" applyBorder="1" applyAlignment="1">
      <alignment vertical="center" wrapText="1"/>
    </xf>
    <xf numFmtId="0" fontId="5" fillId="11" borderId="1" xfId="0" applyFont="1" applyFill="1" applyBorder="1" applyAlignment="1">
      <alignment vertical="center" wrapText="1"/>
    </xf>
    <xf numFmtId="0" fontId="7" fillId="11" borderId="1" xfId="0" applyFont="1" applyFill="1" applyBorder="1" applyAlignment="1">
      <alignment vertical="center" wrapText="1"/>
    </xf>
    <xf numFmtId="0" fontId="0" fillId="11" borderId="1" xfId="0" applyFill="1" applyBorder="1" applyAlignment="1">
      <alignment horizontal="center" vertical="center" wrapText="1"/>
    </xf>
    <xf numFmtId="0" fontId="0" fillId="0" borderId="0" xfId="0" applyAlignment="1">
      <alignment horizontal="center" vertical="center" wrapText="1"/>
    </xf>
    <xf numFmtId="0" fontId="2" fillId="0" borderId="0" xfId="0" applyFont="1" applyAlignment="1">
      <alignment vertical="center"/>
    </xf>
    <xf numFmtId="0" fontId="0" fillId="0" borderId="1" xfId="0" applyBorder="1" applyAlignment="1">
      <alignment vertical="center" wrapText="1"/>
    </xf>
    <xf numFmtId="6" fontId="0" fillId="0" borderId="1" xfId="0" applyNumberFormat="1" applyBorder="1" applyAlignment="1">
      <alignment vertical="center" wrapText="1"/>
    </xf>
    <xf numFmtId="0" fontId="7" fillId="2" borderId="1" xfId="0" applyFont="1" applyFill="1" applyBorder="1" applyAlignment="1">
      <alignment vertical="center" wrapText="1"/>
    </xf>
    <xf numFmtId="0" fontId="7" fillId="2" borderId="0" xfId="0" applyFont="1" applyFill="1" applyAlignment="1">
      <alignment vertical="center"/>
    </xf>
    <xf numFmtId="0" fontId="12" fillId="2" borderId="1" xfId="0" applyFont="1" applyFill="1" applyBorder="1" applyAlignment="1">
      <alignment vertical="center" wrapText="1"/>
    </xf>
    <xf numFmtId="0" fontId="12" fillId="2" borderId="0" xfId="0" applyFont="1" applyFill="1" applyAlignment="1">
      <alignment vertical="center"/>
    </xf>
    <xf numFmtId="0" fontId="0" fillId="10" borderId="1" xfId="0" applyFill="1" applyBorder="1" applyAlignment="1">
      <alignment vertical="center" wrapText="1"/>
    </xf>
    <xf numFmtId="0" fontId="0" fillId="2" borderId="0" xfId="0" applyFill="1" applyAlignment="1">
      <alignment vertical="center"/>
    </xf>
    <xf numFmtId="0" fontId="0" fillId="10" borderId="0" xfId="0" applyFill="1" applyAlignment="1">
      <alignment vertical="center"/>
    </xf>
    <xf numFmtId="0" fontId="0" fillId="0" borderId="1" xfId="0" applyBorder="1" applyAlignment="1">
      <alignment vertical="center"/>
    </xf>
    <xf numFmtId="0" fontId="2" fillId="7" borderId="1" xfId="0" applyFont="1" applyFill="1" applyBorder="1" applyAlignment="1">
      <alignment horizontal="left" vertical="center"/>
    </xf>
    <xf numFmtId="0" fontId="2" fillId="7" borderId="12" xfId="0" applyFont="1" applyFill="1" applyBorder="1" applyAlignment="1">
      <alignment horizontal="left" vertical="center" wrapText="1"/>
    </xf>
    <xf numFmtId="0" fontId="8" fillId="0" borderId="0" xfId="0" applyFont="1" applyAlignment="1">
      <alignment wrapText="1"/>
    </xf>
    <xf numFmtId="0" fontId="2" fillId="0" borderId="1" xfId="0" applyFont="1" applyBorder="1" applyAlignment="1">
      <alignment vertical="center" wrapText="1"/>
    </xf>
    <xf numFmtId="9" fontId="0" fillId="0" borderId="1" xfId="0" applyNumberFormat="1" applyBorder="1" applyAlignment="1">
      <alignment vertical="center" wrapText="1"/>
    </xf>
    <xf numFmtId="6" fontId="0" fillId="0" borderId="1" xfId="0" applyNumberFormat="1" applyBorder="1"/>
    <xf numFmtId="0" fontId="0" fillId="0" borderId="1" xfId="0" applyBorder="1" applyAlignment="1">
      <alignment horizontal="left" vertical="center" wrapText="1"/>
    </xf>
    <xf numFmtId="43" fontId="0" fillId="0" borderId="1" xfId="1" applyFont="1" applyBorder="1" applyAlignment="1"/>
    <xf numFmtId="16" fontId="0" fillId="0" borderId="1" xfId="0" quotePrefix="1" applyNumberFormat="1" applyBorder="1"/>
    <xf numFmtId="17" fontId="0" fillId="0" borderId="1" xfId="0" quotePrefix="1" applyNumberFormat="1" applyBorder="1"/>
    <xf numFmtId="164" fontId="0" fillId="0" borderId="1" xfId="1" applyNumberFormat="1" applyFont="1" applyBorder="1" applyAlignment="1"/>
    <xf numFmtId="0" fontId="0" fillId="0" borderId="1" xfId="0" applyBorder="1" applyAlignment="1">
      <alignment vertical="top" wrapText="1"/>
    </xf>
    <xf numFmtId="0" fontId="14" fillId="0" borderId="1" xfId="0" applyFont="1" applyBorder="1" applyAlignment="1">
      <alignment vertical="center" wrapText="1"/>
    </xf>
    <xf numFmtId="0" fontId="29" fillId="11" borderId="3" xfId="0" applyFont="1" applyFill="1" applyBorder="1"/>
    <xf numFmtId="43" fontId="2" fillId="12" borderId="0" xfId="1" applyFont="1" applyFill="1"/>
    <xf numFmtId="43" fontId="0" fillId="12" borderId="0" xfId="1" applyFont="1" applyFill="1"/>
    <xf numFmtId="0" fontId="2" fillId="12" borderId="0" xfId="0" applyFont="1" applyFill="1"/>
    <xf numFmtId="43" fontId="11" fillId="12" borderId="0" xfId="1" applyFont="1" applyFill="1"/>
    <xf numFmtId="0" fontId="2" fillId="11" borderId="0" xfId="0" applyFont="1" applyFill="1"/>
    <xf numFmtId="0" fontId="0" fillId="11" borderId="2" xfId="0" applyFill="1" applyBorder="1"/>
    <xf numFmtId="0" fontId="19" fillId="0" borderId="0" xfId="0" applyFont="1" applyAlignment="1">
      <alignment horizontal="center" vertical="center" wrapText="1"/>
    </xf>
    <xf numFmtId="0" fontId="0" fillId="0" borderId="14" xfId="0" applyBorder="1" applyAlignment="1">
      <alignment vertical="center" wrapText="1"/>
    </xf>
    <xf numFmtId="0" fontId="14" fillId="0" borderId="0" xfId="0" applyFont="1" applyAlignment="1">
      <alignment vertical="top"/>
    </xf>
    <xf numFmtId="0" fontId="15" fillId="0" borderId="15" xfId="0" applyFont="1" applyBorder="1" applyAlignment="1">
      <alignment vertical="center" wrapText="1"/>
    </xf>
    <xf numFmtId="0" fontId="15" fillId="0" borderId="16" xfId="0" applyFont="1" applyBorder="1" applyAlignment="1">
      <alignment vertical="center" wrapText="1"/>
    </xf>
    <xf numFmtId="0" fontId="15" fillId="0" borderId="17" xfId="0" applyFont="1" applyBorder="1" applyAlignment="1">
      <alignment vertical="center" wrapText="1"/>
    </xf>
    <xf numFmtId="0" fontId="15" fillId="0" borderId="18" xfId="0" applyFont="1" applyBorder="1" applyAlignment="1">
      <alignment vertical="center" wrapText="1"/>
    </xf>
    <xf numFmtId="0" fontId="14" fillId="0" borderId="1" xfId="0" quotePrefix="1" applyFont="1" applyBorder="1" applyAlignment="1">
      <alignment vertical="center" wrapText="1"/>
    </xf>
    <xf numFmtId="0" fontId="0" fillId="0" borderId="1" xfId="0" quotePrefix="1" applyBorder="1" applyAlignment="1">
      <alignment vertical="center" wrapText="1"/>
    </xf>
    <xf numFmtId="0" fontId="0" fillId="0" borderId="13" xfId="0" applyBorder="1" applyAlignment="1">
      <alignment vertical="center" wrapText="1"/>
    </xf>
    <xf numFmtId="43" fontId="0" fillId="0" borderId="1" xfId="1" applyFont="1" applyBorder="1" applyAlignment="1">
      <alignment wrapText="1"/>
    </xf>
    <xf numFmtId="43" fontId="1" fillId="0" borderId="0" xfId="1" applyFont="1" applyFill="1"/>
    <xf numFmtId="43" fontId="0" fillId="0" borderId="0" xfId="1" applyFont="1" applyFill="1"/>
    <xf numFmtId="0" fontId="31" fillId="0" borderId="0" xfId="0" applyFont="1" applyAlignment="1">
      <alignment vertical="center"/>
    </xf>
    <xf numFmtId="0" fontId="32" fillId="0" borderId="0" xfId="0" applyFont="1"/>
    <xf numFmtId="0" fontId="33" fillId="0" borderId="0" xfId="0" applyFont="1" applyAlignment="1">
      <alignment vertical="center"/>
    </xf>
    <xf numFmtId="0" fontId="32" fillId="0" borderId="0" xfId="0" applyFont="1" applyAlignment="1">
      <alignment vertical="center"/>
    </xf>
    <xf numFmtId="0" fontId="34" fillId="0" borderId="0" xfId="0" applyFont="1" applyAlignment="1">
      <alignment vertical="center"/>
    </xf>
    <xf numFmtId="0" fontId="35" fillId="0" borderId="0" xfId="0" applyFont="1" applyAlignment="1">
      <alignment vertical="center"/>
    </xf>
    <xf numFmtId="0" fontId="36" fillId="0" borderId="0" xfId="0" applyFont="1" applyAlignment="1">
      <alignment vertical="center"/>
    </xf>
    <xf numFmtId="0" fontId="37" fillId="0" borderId="0" xfId="0" applyFont="1" applyAlignment="1">
      <alignment vertical="center"/>
    </xf>
    <xf numFmtId="0" fontId="38" fillId="0" borderId="0" xfId="0" applyFont="1" applyAlignment="1">
      <alignment vertical="center"/>
    </xf>
    <xf numFmtId="0" fontId="39" fillId="0" borderId="0" xfId="0" applyFont="1" applyAlignment="1">
      <alignment vertical="center"/>
    </xf>
    <xf numFmtId="0" fontId="0" fillId="12" borderId="0" xfId="0" applyFill="1"/>
    <xf numFmtId="0" fontId="40" fillId="0" borderId="0" xfId="0" applyFont="1"/>
    <xf numFmtId="0" fontId="0" fillId="13" borderId="1" xfId="0" applyFill="1" applyBorder="1" applyAlignment="1">
      <alignment vertical="center" wrapText="1"/>
    </xf>
    <xf numFmtId="0" fontId="0" fillId="13" borderId="0" xfId="0" applyFill="1"/>
    <xf numFmtId="0" fontId="13" fillId="0" borderId="0" xfId="0" applyFont="1"/>
    <xf numFmtId="0" fontId="2" fillId="7" borderId="1" xfId="0" applyFont="1" applyFill="1" applyBorder="1" applyAlignment="1">
      <alignment horizontal="left" vertical="center" wrapText="1"/>
    </xf>
    <xf numFmtId="0" fontId="2" fillId="0" borderId="0" xfId="0" applyFont="1" applyAlignment="1">
      <alignment horizontal="left" vertical="center" wrapText="1"/>
    </xf>
    <xf numFmtId="0" fontId="14" fillId="0" borderId="0" xfId="0" applyFont="1" applyAlignment="1">
      <alignment wrapText="1"/>
    </xf>
    <xf numFmtId="0" fontId="15" fillId="2" borderId="1" xfId="0" applyFont="1" applyFill="1" applyBorder="1" applyAlignment="1">
      <alignment horizontal="center" vertical="center" wrapText="1"/>
    </xf>
    <xf numFmtId="0" fontId="2" fillId="0" borderId="1" xfId="0" applyFont="1" applyBorder="1"/>
    <xf numFmtId="0" fontId="28" fillId="0" borderId="0" xfId="0" applyFont="1" applyAlignment="1">
      <alignment horizontal="center" vertical="center"/>
    </xf>
    <xf numFmtId="0" fontId="34" fillId="0" borderId="0" xfId="0" applyFont="1" applyAlignment="1">
      <alignment horizontal="left" vertical="top" wrapText="1"/>
    </xf>
    <xf numFmtId="0" fontId="2" fillId="0" borderId="0" xfId="0" applyFont="1" applyAlignment="1">
      <alignment horizontal="left" vertical="top" wrapText="1"/>
    </xf>
    <xf numFmtId="0" fontId="18" fillId="0" borderId="0" xfId="0" applyFont="1" applyAlignment="1">
      <alignment horizontal="left" vertical="top" wrapText="1"/>
    </xf>
    <xf numFmtId="0" fontId="14" fillId="0" borderId="0" xfId="0" applyFont="1" applyAlignment="1">
      <alignment horizontal="left" vertical="center" wrapText="1"/>
    </xf>
    <xf numFmtId="0" fontId="1" fillId="0" borderId="0" xfId="0" applyFont="1" applyAlignment="1">
      <alignment wrapText="1"/>
    </xf>
    <xf numFmtId="0" fontId="0" fillId="12" borderId="0" xfId="0" applyFill="1" applyAlignment="1">
      <alignment horizontal="center"/>
    </xf>
    <xf numFmtId="0" fontId="0" fillId="12" borderId="9" xfId="0" applyFill="1" applyBorder="1" applyAlignment="1">
      <alignment horizontal="center"/>
    </xf>
    <xf numFmtId="0" fontId="0" fillId="11" borderId="0" xfId="0" applyFill="1" applyAlignment="1">
      <alignment horizontal="left" vertical="top" wrapText="1"/>
    </xf>
    <xf numFmtId="0" fontId="2" fillId="0" borderId="8" xfId="0" applyFont="1" applyBorder="1" applyAlignment="1">
      <alignment horizontal="center"/>
    </xf>
    <xf numFmtId="0" fontId="2" fillId="0" borderId="0" xfId="0" applyFont="1" applyAlignment="1">
      <alignment horizontal="center"/>
    </xf>
    <xf numFmtId="0" fontId="2" fillId="0" borderId="9" xfId="0" applyFont="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0" fillId="0" borderId="0" xfId="0" applyAlignment="1">
      <alignment horizontal="left" vertical="top" wrapText="1"/>
    </xf>
    <xf numFmtId="0" fontId="0" fillId="0" borderId="9" xfId="0" applyBorder="1" applyAlignment="1">
      <alignment horizontal="left" vertical="top" wrapText="1"/>
    </xf>
    <xf numFmtId="0" fontId="0" fillId="0" borderId="0" xfId="0" applyAlignment="1">
      <alignment horizontal="left" wrapText="1"/>
    </xf>
    <xf numFmtId="0" fontId="0" fillId="0" borderId="9" xfId="0" applyBorder="1" applyAlignment="1">
      <alignment horizontal="left" wrapText="1"/>
    </xf>
    <xf numFmtId="0" fontId="0" fillId="0" borderId="0" xfId="0" applyAlignment="1">
      <alignment horizontal="left"/>
    </xf>
    <xf numFmtId="0" fontId="0" fillId="0" borderId="9" xfId="0" applyBorder="1" applyAlignment="1">
      <alignment horizontal="left"/>
    </xf>
    <xf numFmtId="0" fontId="2" fillId="0" borderId="8" xfId="0" applyFont="1" applyBorder="1" applyAlignment="1">
      <alignment horizontal="center" wrapText="1"/>
    </xf>
    <xf numFmtId="0" fontId="2" fillId="0" borderId="0" xfId="0" applyFont="1" applyAlignment="1">
      <alignment horizontal="center" wrapText="1"/>
    </xf>
    <xf numFmtId="0" fontId="2" fillId="0" borderId="9" xfId="0" applyFont="1" applyBorder="1" applyAlignment="1">
      <alignment horizontal="center" wrapText="1"/>
    </xf>
    <xf numFmtId="0" fontId="2" fillId="0" borderId="10" xfId="0" applyFont="1" applyBorder="1" applyAlignment="1">
      <alignment horizontal="center" wrapText="1"/>
    </xf>
    <xf numFmtId="0" fontId="2" fillId="0" borderId="2" xfId="0" applyFont="1" applyBorder="1" applyAlignment="1">
      <alignment horizontal="center" wrapText="1"/>
    </xf>
    <xf numFmtId="0" fontId="2" fillId="0" borderId="11" xfId="0" applyFont="1" applyBorder="1" applyAlignment="1">
      <alignment horizontal="center" wrapText="1"/>
    </xf>
    <xf numFmtId="0" fontId="33" fillId="0" borderId="0" xfId="0" applyFont="1" applyAlignment="1">
      <alignment horizontal="left" vertical="top" wrapText="1"/>
    </xf>
    <xf numFmtId="0" fontId="33" fillId="0" borderId="0" xfId="0" applyFont="1" applyAlignment="1">
      <alignment horizontal="left" vertical="center" wrapText="1"/>
    </xf>
    <xf numFmtId="0" fontId="0" fillId="0" borderId="1" xfId="0" applyBorder="1" applyAlignment="1">
      <alignment horizontal="center" vertical="center" wrapText="1"/>
    </xf>
    <xf numFmtId="0" fontId="0" fillId="12" borderId="0" xfId="0" applyFill="1" applyAlignment="1">
      <alignment horizontal="center" vertical="center" wrapText="1"/>
    </xf>
    <xf numFmtId="0" fontId="2" fillId="7" borderId="0" xfId="0" applyFont="1" applyFill="1" applyAlignment="1">
      <alignment horizontal="center"/>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xf numFmtId="0" fontId="23" fillId="0" borderId="0" xfId="0" applyFont="1" applyAlignment="1">
      <alignment horizontal="left"/>
    </xf>
    <xf numFmtId="0" fontId="30" fillId="12" borderId="0" xfId="0" applyFont="1" applyFill="1" applyAlignment="1">
      <alignment horizontal="center" vertical="center"/>
    </xf>
    <xf numFmtId="0" fontId="14" fillId="0" borderId="0" xfId="0" applyFont="1" applyAlignment="1">
      <alignment horizontal="left" vertical="top" wrapText="1"/>
    </xf>
    <xf numFmtId="0" fontId="14" fillId="0" borderId="19" xfId="0" applyFont="1" applyBorder="1" applyAlignment="1">
      <alignment horizontal="left" vertical="center" wrapText="1"/>
    </xf>
    <xf numFmtId="0" fontId="0" fillId="9" borderId="0" xfId="0" applyFill="1" applyAlignment="1">
      <alignment horizontal="center"/>
    </xf>
    <xf numFmtId="0" fontId="2" fillId="4" borderId="3" xfId="0" applyFont="1" applyFill="1" applyBorder="1" applyAlignment="1">
      <alignment horizontal="center"/>
    </xf>
    <xf numFmtId="0" fontId="2" fillId="5" borderId="13" xfId="0" applyFont="1" applyFill="1" applyBorder="1" applyAlignment="1">
      <alignment horizontal="center"/>
    </xf>
    <xf numFmtId="0" fontId="2" fillId="5" borderId="14" xfId="0" applyFont="1" applyFill="1" applyBorder="1" applyAlignment="1">
      <alignment horizontal="center"/>
    </xf>
    <xf numFmtId="0" fontId="2" fillId="4" borderId="13" xfId="0" applyFont="1" applyFill="1" applyBorder="1" applyAlignment="1">
      <alignment horizontal="center"/>
    </xf>
    <xf numFmtId="0" fontId="2" fillId="4" borderId="14" xfId="0" applyFont="1" applyFill="1" applyBorder="1" applyAlignment="1">
      <alignment horizontal="center"/>
    </xf>
    <xf numFmtId="0" fontId="2" fillId="6" borderId="13" xfId="0" applyFont="1" applyFill="1" applyBorder="1" applyAlignment="1">
      <alignment horizontal="center"/>
    </xf>
    <xf numFmtId="0" fontId="2" fillId="6" borderId="14" xfId="0" applyFont="1" applyFill="1" applyBorder="1" applyAlignment="1">
      <alignment horizontal="center"/>
    </xf>
    <xf numFmtId="0" fontId="2" fillId="7" borderId="13" xfId="0" applyFont="1" applyFill="1" applyBorder="1" applyAlignment="1">
      <alignment horizontal="center"/>
    </xf>
    <xf numFmtId="0" fontId="2" fillId="7" borderId="14" xfId="0" applyFont="1" applyFill="1" applyBorder="1" applyAlignment="1">
      <alignment horizontal="center"/>
    </xf>
    <xf numFmtId="0" fontId="2" fillId="3" borderId="13" xfId="0" applyFont="1" applyFill="1" applyBorder="1" applyAlignment="1">
      <alignment horizontal="center"/>
    </xf>
    <xf numFmtId="0" fontId="2" fillId="3" borderId="14" xfId="0" applyFont="1" applyFill="1" applyBorder="1" applyAlignment="1">
      <alignment horizontal="center"/>
    </xf>
    <xf numFmtId="0" fontId="2" fillId="8" borderId="13" xfId="0" applyFont="1" applyFill="1" applyBorder="1" applyAlignment="1">
      <alignment horizontal="center"/>
    </xf>
    <xf numFmtId="0" fontId="2" fillId="8" borderId="14" xfId="0" applyFont="1" applyFill="1" applyBorder="1" applyAlignment="1">
      <alignment horizont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ntel\Downloads\For_categorization_with_SA_APINames.xlsx" TargetMode="External"/><Relationship Id="rId1" Type="http://schemas.openxmlformats.org/officeDocument/2006/relationships/externalLinkPath" Target="file:///C:\Users\intel\Downloads\For_categorization_with_SA_APINam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B1" t="str">
            <v>Classification Subcategory</v>
          </cell>
          <cell r="H1" t="str">
            <v>Self Assessment API Name</v>
          </cell>
        </row>
        <row r="2">
          <cell r="B2" t="str">
            <v>Cash &amp; ATM</v>
          </cell>
        </row>
        <row r="3">
          <cell r="B3" t="str">
            <v>Check</v>
          </cell>
        </row>
        <row r="4">
          <cell r="B4" t="str">
            <v>Arts</v>
          </cell>
          <cell r="H4" t="str">
            <v>selfEmployment.expenses.entertaining</v>
          </cell>
        </row>
        <row r="5">
          <cell r="B5" t="str">
            <v>Music</v>
          </cell>
          <cell r="H5" t="str">
            <v>selfEmployment.expenses.entertaining</v>
          </cell>
        </row>
        <row r="6">
          <cell r="B6" t="str">
            <v>Dating</v>
          </cell>
          <cell r="H6" t="str">
            <v>selfEmployment.expenses.entertaining</v>
          </cell>
        </row>
        <row r="7">
          <cell r="B7" t="str">
            <v>Movies &amp; DVDs</v>
          </cell>
          <cell r="H7" t="str">
            <v>selfEmployment.expenses.entertaining</v>
          </cell>
        </row>
        <row r="8">
          <cell r="B8" t="str">
            <v>Newspaper &amp; Magazines</v>
          </cell>
          <cell r="H8" t="str">
            <v>selfEmployment.expenses.adminCosts</v>
          </cell>
        </row>
        <row r="9">
          <cell r="B9" t="str">
            <v>Social Club</v>
          </cell>
          <cell r="H9" t="str">
            <v>selfEmployment.expenses.staffWelfare</v>
          </cell>
        </row>
        <row r="10">
          <cell r="B10" t="str">
            <v>Sport</v>
          </cell>
          <cell r="H10" t="str">
            <v>selfEmployment.expenses.entertaining</v>
          </cell>
        </row>
        <row r="11">
          <cell r="B11" t="str">
            <v>Games</v>
          </cell>
          <cell r="H11" t="str">
            <v>selfEmployment.expenses.entertaining</v>
          </cell>
        </row>
        <row r="12">
          <cell r="B12" t="str">
            <v>Tuition</v>
          </cell>
          <cell r="H12" t="str">
            <v>selfEmployment.expenses.trainingCourses</v>
          </cell>
        </row>
        <row r="13">
          <cell r="B13" t="str">
            <v>Student Loan</v>
          </cell>
        </row>
        <row r="14">
          <cell r="B14" t="str">
            <v>Books &amp; Supplies</v>
          </cell>
          <cell r="H14" t="str">
            <v>selfEmployment.expenses.adminCosts</v>
          </cell>
        </row>
        <row r="15">
          <cell r="B15" t="str">
            <v>Pets</v>
          </cell>
        </row>
        <row r="16">
          <cell r="B16" t="str">
            <v>Groceries</v>
          </cell>
        </row>
        <row r="17">
          <cell r="B17" t="str">
            <v>General</v>
          </cell>
          <cell r="H17" t="str">
            <v>selfEmployment.expenses.other</v>
          </cell>
        </row>
        <row r="18">
          <cell r="B18" t="str">
            <v>Clothing</v>
          </cell>
        </row>
        <row r="19">
          <cell r="B19" t="str">
            <v>Home</v>
          </cell>
        </row>
        <row r="20">
          <cell r="B20" t="str">
            <v>Books</v>
          </cell>
          <cell r="H20" t="str">
            <v>selfEmployment.expenses.adminCosts</v>
          </cell>
        </row>
        <row r="21">
          <cell r="B21" t="str">
            <v>Electronics &amp; Software</v>
          </cell>
          <cell r="H21" t="str">
            <v>selfEmployment.expenses.adminCosts</v>
          </cell>
        </row>
        <row r="22">
          <cell r="B22" t="str">
            <v>Electronics &amp; Software</v>
          </cell>
          <cell r="H22" t="str">
            <v>selfEmployment.expenses.adminCosts</v>
          </cell>
        </row>
        <row r="23">
          <cell r="B23" t="str">
            <v>Hobbies</v>
          </cell>
        </row>
        <row r="24">
          <cell r="B24" t="str">
            <v>Sporting Goods</v>
          </cell>
        </row>
        <row r="25">
          <cell r="B25" t="str">
            <v>Hair</v>
          </cell>
        </row>
        <row r="26">
          <cell r="B26" t="str">
            <v>Laundry</v>
          </cell>
        </row>
        <row r="27">
          <cell r="B27" t="str">
            <v>Beauty</v>
          </cell>
        </row>
        <row r="28">
          <cell r="B28" t="str">
            <v>Spa &amp; Massage</v>
          </cell>
        </row>
        <row r="29">
          <cell r="B29" t="str">
            <v>Dentist</v>
          </cell>
        </row>
        <row r="30">
          <cell r="B30" t="str">
            <v>Doctor</v>
          </cell>
        </row>
        <row r="31">
          <cell r="B31" t="str">
            <v>Eye care</v>
          </cell>
        </row>
        <row r="32">
          <cell r="B32" t="str">
            <v>Pharmacy</v>
          </cell>
        </row>
        <row r="33">
          <cell r="B33" t="str">
            <v>Gym</v>
          </cell>
        </row>
        <row r="34">
          <cell r="B34" t="str">
            <v>Pets</v>
          </cell>
        </row>
        <row r="35">
          <cell r="B35" t="str">
            <v>Sports</v>
          </cell>
        </row>
        <row r="36">
          <cell r="B36" t="str">
            <v>Catering</v>
          </cell>
          <cell r="H36" t="str">
            <v>selfEmployment.expenses.other</v>
          </cell>
        </row>
        <row r="37">
          <cell r="B37" t="str">
            <v>Coffee shops</v>
          </cell>
        </row>
        <row r="38">
          <cell r="B38" t="str">
            <v>Delivery</v>
          </cell>
          <cell r="H38" t="str">
            <v>selfEmployment.expenses.carriage</v>
          </cell>
        </row>
        <row r="39">
          <cell r="B39" t="str">
            <v>Fast Food</v>
          </cell>
        </row>
        <row r="40">
          <cell r="B40" t="str">
            <v>Restaurants</v>
          </cell>
          <cell r="H40" t="str">
            <v>selfEmployment.expenses.entertaining</v>
          </cell>
        </row>
        <row r="41">
          <cell r="B41" t="str">
            <v>Bars</v>
          </cell>
          <cell r="H41" t="str">
            <v>selfEmployment.expenses.entertaining</v>
          </cell>
        </row>
        <row r="42">
          <cell r="B42" t="str">
            <v>Gift</v>
          </cell>
          <cell r="H42" t="str">
            <v>selfEmployment.expenses.businessGift</v>
          </cell>
        </row>
        <row r="43">
          <cell r="B43" t="str">
            <v>Charity</v>
          </cell>
        </row>
        <row r="44">
          <cell r="B44" t="str">
            <v>Equities</v>
          </cell>
          <cell r="H44" t="str">
            <v>capitalGains.disposals.proceeds</v>
          </cell>
        </row>
        <row r="45">
          <cell r="B45" t="str">
            <v>Bonds</v>
          </cell>
          <cell r="H45" t="str">
            <v>interest.incomeFromUkBanksAndBuildingSocieties</v>
          </cell>
        </row>
        <row r="46">
          <cell r="B46" t="str">
            <v>Bank products</v>
          </cell>
          <cell r="H46" t="str">
            <v>interest.incomeFromUkBanksAndBuildingSocieties</v>
          </cell>
        </row>
        <row r="47">
          <cell r="B47" t="str">
            <v>Retirement</v>
          </cell>
        </row>
        <row r="48">
          <cell r="B48" t="str">
            <v>Annuities</v>
          </cell>
          <cell r="H48" t="str">
            <v>pension.incomeAnnuities</v>
          </cell>
        </row>
        <row r="49">
          <cell r="B49" t="str">
            <v>Real-estate</v>
          </cell>
          <cell r="H49" t="str">
            <v>capitalGains.disposals.proceeds</v>
          </cell>
        </row>
        <row r="50">
          <cell r="B50" t="str">
            <v>Television</v>
          </cell>
          <cell r="H50" t="str">
            <v>selfEmployment.expenses.advertisingOrMarketing</v>
          </cell>
        </row>
        <row r="51">
          <cell r="B51" t="str">
            <v>Home Phone</v>
          </cell>
          <cell r="H51" t="str">
            <v>selfEmployment.expenses.adminCosts</v>
          </cell>
        </row>
        <row r="52">
          <cell r="B52" t="str">
            <v>Internet</v>
          </cell>
          <cell r="H52" t="str">
            <v>selfEmployment.expenses.adminCosts</v>
          </cell>
        </row>
        <row r="53">
          <cell r="B53" t="str">
            <v>Mobile Phone</v>
          </cell>
          <cell r="H53" t="str">
            <v>selfEmployment.expenses.adminCosts</v>
          </cell>
        </row>
        <row r="54">
          <cell r="B54" t="str">
            <v>Utilities</v>
          </cell>
          <cell r="H54" t="str">
            <v>selfEmployment.expenses.premisesRunningCosts</v>
          </cell>
        </row>
        <row r="55">
          <cell r="B55" t="str">
            <v>Auto Insurance</v>
          </cell>
          <cell r="H55" t="str">
            <v>selfEmployment.expenses.motorExpenses</v>
          </cell>
        </row>
        <row r="56">
          <cell r="B56" t="str">
            <v>Auto Payment</v>
          </cell>
          <cell r="H56" t="str">
            <v>selfEmployment.expenses.motorExpenses</v>
          </cell>
        </row>
        <row r="57">
          <cell r="B57" t="str">
            <v>Parking</v>
          </cell>
          <cell r="H57" t="str">
            <v>selfEmployment.expenses.travelCosts</v>
          </cell>
        </row>
        <row r="58">
          <cell r="B58" t="str">
            <v>Public transport</v>
          </cell>
          <cell r="H58" t="str">
            <v>selfEmployment.expenses.travelCosts</v>
          </cell>
        </row>
        <row r="59">
          <cell r="B59" t="str">
            <v>Service &amp; Auto Parts</v>
          </cell>
          <cell r="H59" t="str">
            <v>selfEmployment.expenses.motorExpenses</v>
          </cell>
        </row>
        <row r="60">
          <cell r="B60" t="str">
            <v>Taxi</v>
          </cell>
          <cell r="H60" t="str">
            <v>selfEmployment.expenses.travelCosts</v>
          </cell>
        </row>
        <row r="61">
          <cell r="B61" t="str">
            <v>Gas &amp; Fuel</v>
          </cell>
          <cell r="H61" t="str">
            <v>selfEmployment.expenses.motorExpenses</v>
          </cell>
        </row>
        <row r="62">
          <cell r="B62" t="str">
            <v>Air Travel</v>
          </cell>
          <cell r="H62" t="str">
            <v>selfEmployment.expenses.travelCosts</v>
          </cell>
        </row>
        <row r="63">
          <cell r="B63" t="str">
            <v>Hotel</v>
          </cell>
          <cell r="H63" t="str">
            <v>selfEmployment.expenses.travelCosts</v>
          </cell>
        </row>
        <row r="64">
          <cell r="B64" t="str">
            <v>Rental Car &amp; Taxi</v>
          </cell>
          <cell r="H64" t="str">
            <v>selfEmployment.expenses.travelCosts</v>
          </cell>
        </row>
        <row r="65">
          <cell r="B65" t="str">
            <v>Vacation</v>
          </cell>
        </row>
        <row r="66">
          <cell r="B66" t="str">
            <v>Service Fee</v>
          </cell>
          <cell r="H66" t="str">
            <v>selfEmployment.expenses.financialCharges</v>
          </cell>
        </row>
        <row r="67">
          <cell r="B67" t="str">
            <v>Late Fee</v>
          </cell>
          <cell r="H67" t="str">
            <v>selfEmployment.expenses.financialCharges</v>
          </cell>
        </row>
        <row r="68">
          <cell r="B68" t="str">
            <v>Finance Charge</v>
          </cell>
          <cell r="H68" t="str">
            <v>selfEmployment.expenses.financialCharges</v>
          </cell>
        </row>
        <row r="69">
          <cell r="B69" t="str">
            <v>ATM Fee</v>
          </cell>
          <cell r="H69" t="str">
            <v>selfEmployment.expenses.financialCharges</v>
          </cell>
        </row>
        <row r="70">
          <cell r="B70" t="str">
            <v>Bank Fee</v>
          </cell>
          <cell r="H70" t="str">
            <v>selfEmployment.expenses.financialCharges</v>
          </cell>
        </row>
        <row r="71">
          <cell r="B71" t="str">
            <v>Commissions</v>
          </cell>
          <cell r="H71" t="str">
            <v>selfEmployment.expenses.commissions</v>
          </cell>
        </row>
        <row r="72">
          <cell r="B72" t="str">
            <v>Fines &amp; Penalties</v>
          </cell>
        </row>
        <row r="73">
          <cell r="B73" t="str">
            <v>Advertising</v>
          </cell>
          <cell r="H73" t="str">
            <v>selfEmployment.expenses.advertisingOrMarketing</v>
          </cell>
        </row>
        <row r="74">
          <cell r="B74" t="str">
            <v>Financial Services</v>
          </cell>
          <cell r="H74" t="str">
            <v>selfEmployment.expenses.professionalFees</v>
          </cell>
        </row>
        <row r="75">
          <cell r="B75" t="str">
            <v>Office Supplies</v>
          </cell>
          <cell r="H75" t="str">
            <v>selfEmployment.expenses.adminCosts</v>
          </cell>
        </row>
        <row r="76">
          <cell r="B76" t="str">
            <v>Printing</v>
          </cell>
          <cell r="H76" t="str">
            <v>selfEmployment.expenses.adminCosts</v>
          </cell>
        </row>
        <row r="77">
          <cell r="B77" t="str">
            <v>Shipping</v>
          </cell>
          <cell r="H77" t="str">
            <v>selfEmployment.expenses.carriage</v>
          </cell>
        </row>
        <row r="78">
          <cell r="B78" t="str">
            <v>Legal Fees</v>
          </cell>
          <cell r="H78" t="str">
            <v>selfEmployment.expenses.professionalFees</v>
          </cell>
        </row>
        <row r="79">
          <cell r="B79" t="str">
            <v>Advisory and Consulting</v>
          </cell>
          <cell r="H79" t="str">
            <v>selfEmployment.expenses.professionalFees</v>
          </cell>
        </row>
        <row r="80">
          <cell r="B80" t="str">
            <v>Financial Services</v>
          </cell>
          <cell r="H80" t="str">
            <v>selfEmployment.expenses.professionalFees</v>
          </cell>
        </row>
        <row r="81">
          <cell r="B81" t="str">
            <v>Council Tax</v>
          </cell>
        </row>
        <row r="82">
          <cell r="B82" t="str">
            <v>Income Tax</v>
          </cell>
        </row>
        <row r="83">
          <cell r="B83" t="str">
            <v>Corporation Tax</v>
          </cell>
        </row>
        <row r="84">
          <cell r="B84" t="str">
            <v>Value Added Tax</v>
          </cell>
        </row>
        <row r="85">
          <cell r="B85" t="str">
            <v>National Insurance Contributions</v>
          </cell>
        </row>
        <row r="86">
          <cell r="B86" t="str">
            <v>Betting</v>
          </cell>
        </row>
        <row r="87">
          <cell r="B87" t="str">
            <v>Lottery</v>
          </cell>
        </row>
        <row r="88">
          <cell r="B88" t="str">
            <v>Casino</v>
          </cell>
        </row>
        <row r="89">
          <cell r="B89" t="str">
            <v>Rent</v>
          </cell>
          <cell r="H89" t="str">
            <v>selfEmployment.expenses.premisesRunningCosts</v>
          </cell>
        </row>
        <row r="90">
          <cell r="B90" t="str">
            <v>Mortgage Costs</v>
          </cell>
          <cell r="H90" t="str">
            <v>selfEmployment.expenses.interestOnBankOtherLoans</v>
          </cell>
        </row>
        <row r="91">
          <cell r="B91" t="str">
            <v>Secured loans</v>
          </cell>
          <cell r="H91" t="str">
            <v>selfEmployment.expenses.interestOnBankOtherLoans</v>
          </cell>
        </row>
        <row r="92">
          <cell r="B92" t="str">
            <v>Mortgage Interest</v>
          </cell>
          <cell r="H92" t="str">
            <v>selfEmployment.expenses.interestOnBankOtherLoans</v>
          </cell>
        </row>
        <row r="93">
          <cell r="B93" t="str">
            <v>Pension payments (UK Registered)</v>
          </cell>
          <cell r="H93" t="str">
            <v>pensions.reliefAtSource</v>
          </cell>
        </row>
        <row r="94">
          <cell r="B94" t="str">
            <v>Pension payments (Not - UK Registered)</v>
          </cell>
        </row>
        <row r="95">
          <cell r="B95" t="str">
            <v>Life insurance</v>
          </cell>
        </row>
        <row r="96">
          <cell r="B96" t="str">
            <v>Buildings and contents insurance</v>
          </cell>
          <cell r="H96" t="str">
            <v>selfEmployment.expenses.insurance</v>
          </cell>
        </row>
        <row r="97">
          <cell r="B97" t="str">
            <v>Health insurance</v>
          </cell>
        </row>
        <row r="98">
          <cell r="B98" t="str">
            <v>Salaries</v>
          </cell>
          <cell r="H98" t="str">
            <v>selfEmployment.expenses.staffCosts</v>
          </cell>
        </row>
        <row r="99">
          <cell r="B99" t="str">
            <v>HR Fees</v>
          </cell>
          <cell r="H99" t="str">
            <v>selfEmployment.expenses.professionalFees</v>
          </cell>
        </row>
        <row r="100">
          <cell r="B100" t="str">
            <v>Accounting Fees</v>
          </cell>
          <cell r="H100" t="str">
            <v>selfEmployment.expenses.professionalFees</v>
          </cell>
        </row>
        <row r="101">
          <cell r="B101" t="str">
            <v>Drawings (Partner A)</v>
          </cell>
        </row>
        <row r="102">
          <cell r="B102" t="str">
            <v>Drawings (Partner B)</v>
          </cell>
        </row>
        <row r="103">
          <cell r="B103" t="str">
            <v>Members' Remuneration Charged as an Expense</v>
          </cell>
        </row>
        <row r="104">
          <cell r="B104" t="str">
            <v>Members' Salaries</v>
          </cell>
        </row>
        <row r="105">
          <cell r="B105" t="str">
            <v>Members' NIC</v>
          </cell>
        </row>
        <row r="106">
          <cell r="B106" t="str">
            <v>Members' Pension Contributions</v>
          </cell>
        </row>
        <row r="107">
          <cell r="B107" t="str">
            <v>Interest on Members' Loans</v>
          </cell>
        </row>
        <row r="108">
          <cell r="B108" t="str">
            <v>Profit Shares Paid to Members</v>
          </cell>
        </row>
        <row r="109">
          <cell r="B109" t="str">
            <v>Members' Capital Accounts</v>
          </cell>
        </row>
        <row r="110">
          <cell r="B110" t="str">
            <v>Members' Current Accounts</v>
          </cell>
        </row>
        <row r="111">
          <cell r="B111" t="str">
            <v>Loans and Other Debts Due to Members</v>
          </cell>
        </row>
        <row r="112">
          <cell r="B112" t="str">
            <v>Amounts Owed by Members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55855-7B36-4D2C-B2B2-E485B3F5A8F3}">
  <sheetPr>
    <tabColor theme="2" tint="-0.89999084444715716"/>
  </sheetPr>
  <dimension ref="A1:N17"/>
  <sheetViews>
    <sheetView workbookViewId="0">
      <selection sqref="A1:N17"/>
    </sheetView>
  </sheetViews>
  <sheetFormatPr defaultRowHeight="15" x14ac:dyDescent="0.25"/>
  <sheetData>
    <row r="1" spans="1:14" x14ac:dyDescent="0.25">
      <c r="A1" s="202" t="s">
        <v>1953</v>
      </c>
      <c r="B1" s="202"/>
      <c r="C1" s="202"/>
      <c r="D1" s="202"/>
      <c r="E1" s="202"/>
      <c r="F1" s="202"/>
      <c r="G1" s="202"/>
      <c r="H1" s="202"/>
      <c r="I1" s="202"/>
      <c r="J1" s="202"/>
      <c r="K1" s="202"/>
      <c r="L1" s="202"/>
      <c r="M1" s="202"/>
      <c r="N1" s="202"/>
    </row>
    <row r="2" spans="1:14" x14ac:dyDescent="0.25">
      <c r="A2" s="202"/>
      <c r="B2" s="202"/>
      <c r="C2" s="202"/>
      <c r="D2" s="202"/>
      <c r="E2" s="202"/>
      <c r="F2" s="202"/>
      <c r="G2" s="202"/>
      <c r="H2" s="202"/>
      <c r="I2" s="202"/>
      <c r="J2" s="202"/>
      <c r="K2" s="202"/>
      <c r="L2" s="202"/>
      <c r="M2" s="202"/>
      <c r="N2" s="202"/>
    </row>
    <row r="3" spans="1:14" x14ac:dyDescent="0.25">
      <c r="A3" s="202"/>
      <c r="B3" s="202"/>
      <c r="C3" s="202"/>
      <c r="D3" s="202"/>
      <c r="E3" s="202"/>
      <c r="F3" s="202"/>
      <c r="G3" s="202"/>
      <c r="H3" s="202"/>
      <c r="I3" s="202"/>
      <c r="J3" s="202"/>
      <c r="K3" s="202"/>
      <c r="L3" s="202"/>
      <c r="M3" s="202"/>
      <c r="N3" s="202"/>
    </row>
    <row r="4" spans="1:14" x14ac:dyDescent="0.25">
      <c r="A4" s="202"/>
      <c r="B4" s="202"/>
      <c r="C4" s="202"/>
      <c r="D4" s="202"/>
      <c r="E4" s="202"/>
      <c r="F4" s="202"/>
      <c r="G4" s="202"/>
      <c r="H4" s="202"/>
      <c r="I4" s="202"/>
      <c r="J4" s="202"/>
      <c r="K4" s="202"/>
      <c r="L4" s="202"/>
      <c r="M4" s="202"/>
      <c r="N4" s="202"/>
    </row>
    <row r="5" spans="1:14" x14ac:dyDescent="0.25">
      <c r="A5" s="202"/>
      <c r="B5" s="202"/>
      <c r="C5" s="202"/>
      <c r="D5" s="202"/>
      <c r="E5" s="202"/>
      <c r="F5" s="202"/>
      <c r="G5" s="202"/>
      <c r="H5" s="202"/>
      <c r="I5" s="202"/>
      <c r="J5" s="202"/>
      <c r="K5" s="202"/>
      <c r="L5" s="202"/>
      <c r="M5" s="202"/>
      <c r="N5" s="202"/>
    </row>
    <row r="6" spans="1:14" x14ac:dyDescent="0.25">
      <c r="A6" s="202"/>
      <c r="B6" s="202"/>
      <c r="C6" s="202"/>
      <c r="D6" s="202"/>
      <c r="E6" s="202"/>
      <c r="F6" s="202"/>
      <c r="G6" s="202"/>
      <c r="H6" s="202"/>
      <c r="I6" s="202"/>
      <c r="J6" s="202"/>
      <c r="K6" s="202"/>
      <c r="L6" s="202"/>
      <c r="M6" s="202"/>
      <c r="N6" s="202"/>
    </row>
    <row r="7" spans="1:14" x14ac:dyDescent="0.25">
      <c r="A7" s="202"/>
      <c r="B7" s="202"/>
      <c r="C7" s="202"/>
      <c r="D7" s="202"/>
      <c r="E7" s="202"/>
      <c r="F7" s="202"/>
      <c r="G7" s="202"/>
      <c r="H7" s="202"/>
      <c r="I7" s="202"/>
      <c r="J7" s="202"/>
      <c r="K7" s="202"/>
      <c r="L7" s="202"/>
      <c r="M7" s="202"/>
      <c r="N7" s="202"/>
    </row>
    <row r="8" spans="1:14" x14ac:dyDescent="0.25">
      <c r="A8" s="202"/>
      <c r="B8" s="202"/>
      <c r="C8" s="202"/>
      <c r="D8" s="202"/>
      <c r="E8" s="202"/>
      <c r="F8" s="202"/>
      <c r="G8" s="202"/>
      <c r="H8" s="202"/>
      <c r="I8" s="202"/>
      <c r="J8" s="202"/>
      <c r="K8" s="202"/>
      <c r="L8" s="202"/>
      <c r="M8" s="202"/>
      <c r="N8" s="202"/>
    </row>
    <row r="9" spans="1:14" x14ac:dyDescent="0.25">
      <c r="A9" s="202"/>
      <c r="B9" s="202"/>
      <c r="C9" s="202"/>
      <c r="D9" s="202"/>
      <c r="E9" s="202"/>
      <c r="F9" s="202"/>
      <c r="G9" s="202"/>
      <c r="H9" s="202"/>
      <c r="I9" s="202"/>
      <c r="J9" s="202"/>
      <c r="K9" s="202"/>
      <c r="L9" s="202"/>
      <c r="M9" s="202"/>
      <c r="N9" s="202"/>
    </row>
    <row r="10" spans="1:14" x14ac:dyDescent="0.25">
      <c r="A10" s="202"/>
      <c r="B10" s="202"/>
      <c r="C10" s="202"/>
      <c r="D10" s="202"/>
      <c r="E10" s="202"/>
      <c r="F10" s="202"/>
      <c r="G10" s="202"/>
      <c r="H10" s="202"/>
      <c r="I10" s="202"/>
      <c r="J10" s="202"/>
      <c r="K10" s="202"/>
      <c r="L10" s="202"/>
      <c r="M10" s="202"/>
      <c r="N10" s="202"/>
    </row>
    <row r="11" spans="1:14" x14ac:dyDescent="0.25">
      <c r="A11" s="202"/>
      <c r="B11" s="202"/>
      <c r="C11" s="202"/>
      <c r="D11" s="202"/>
      <c r="E11" s="202"/>
      <c r="F11" s="202"/>
      <c r="G11" s="202"/>
      <c r="H11" s="202"/>
      <c r="I11" s="202"/>
      <c r="J11" s="202"/>
      <c r="K11" s="202"/>
      <c r="L11" s="202"/>
      <c r="M11" s="202"/>
      <c r="N11" s="202"/>
    </row>
    <row r="12" spans="1:14" x14ac:dyDescent="0.25">
      <c r="A12" s="202"/>
      <c r="B12" s="202"/>
      <c r="C12" s="202"/>
      <c r="D12" s="202"/>
      <c r="E12" s="202"/>
      <c r="F12" s="202"/>
      <c r="G12" s="202"/>
      <c r="H12" s="202"/>
      <c r="I12" s="202"/>
      <c r="J12" s="202"/>
      <c r="K12" s="202"/>
      <c r="L12" s="202"/>
      <c r="M12" s="202"/>
      <c r="N12" s="202"/>
    </row>
    <row r="13" spans="1:14" x14ac:dyDescent="0.25">
      <c r="A13" s="202"/>
      <c r="B13" s="202"/>
      <c r="C13" s="202"/>
      <c r="D13" s="202"/>
      <c r="E13" s="202"/>
      <c r="F13" s="202"/>
      <c r="G13" s="202"/>
      <c r="H13" s="202"/>
      <c r="I13" s="202"/>
      <c r="J13" s="202"/>
      <c r="K13" s="202"/>
      <c r="L13" s="202"/>
      <c r="M13" s="202"/>
      <c r="N13" s="202"/>
    </row>
    <row r="14" spans="1:14" x14ac:dyDescent="0.25">
      <c r="A14" s="202"/>
      <c r="B14" s="202"/>
      <c r="C14" s="202"/>
      <c r="D14" s="202"/>
      <c r="E14" s="202"/>
      <c r="F14" s="202"/>
      <c r="G14" s="202"/>
      <c r="H14" s="202"/>
      <c r="I14" s="202"/>
      <c r="J14" s="202"/>
      <c r="K14" s="202"/>
      <c r="L14" s="202"/>
      <c r="M14" s="202"/>
      <c r="N14" s="202"/>
    </row>
    <row r="15" spans="1:14" x14ac:dyDescent="0.25">
      <c r="A15" s="202"/>
      <c r="B15" s="202"/>
      <c r="C15" s="202"/>
      <c r="D15" s="202"/>
      <c r="E15" s="202"/>
      <c r="F15" s="202"/>
      <c r="G15" s="202"/>
      <c r="H15" s="202"/>
      <c r="I15" s="202"/>
      <c r="J15" s="202"/>
      <c r="K15" s="202"/>
      <c r="L15" s="202"/>
      <c r="M15" s="202"/>
      <c r="N15" s="202"/>
    </row>
    <row r="16" spans="1:14" x14ac:dyDescent="0.25">
      <c r="A16" s="202"/>
      <c r="B16" s="202"/>
      <c r="C16" s="202"/>
      <c r="D16" s="202"/>
      <c r="E16" s="202"/>
      <c r="F16" s="202"/>
      <c r="G16" s="202"/>
      <c r="H16" s="202"/>
      <c r="I16" s="202"/>
      <c r="J16" s="202"/>
      <c r="K16" s="202"/>
      <c r="L16" s="202"/>
      <c r="M16" s="202"/>
      <c r="N16" s="202"/>
    </row>
    <row r="17" spans="1:14" x14ac:dyDescent="0.25">
      <c r="A17" s="202"/>
      <c r="B17" s="202"/>
      <c r="C17" s="202"/>
      <c r="D17" s="202"/>
      <c r="E17" s="202"/>
      <c r="F17" s="202"/>
      <c r="G17" s="202"/>
      <c r="H17" s="202"/>
      <c r="I17" s="202"/>
      <c r="J17" s="202"/>
      <c r="K17" s="202"/>
      <c r="L17" s="202"/>
      <c r="M17" s="202"/>
      <c r="N17" s="202"/>
    </row>
  </sheetData>
  <mergeCells count="1">
    <mergeCell ref="A1:N17"/>
  </mergeCell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E235-7837-4D98-AE98-6AB5016B76B1}">
  <sheetPr>
    <pageSetUpPr fitToPage="1"/>
  </sheetPr>
  <dimension ref="A1:K330"/>
  <sheetViews>
    <sheetView tabSelected="1" topLeftCell="A238" zoomScale="63" workbookViewId="0">
      <selection activeCell="D258" sqref="D258"/>
    </sheetView>
  </sheetViews>
  <sheetFormatPr defaultRowHeight="15" x14ac:dyDescent="0.25"/>
  <cols>
    <col min="1" max="1" width="29.140625" customWidth="1"/>
    <col min="2" max="2" width="23.5703125" customWidth="1"/>
    <col min="3" max="3" width="19.42578125" customWidth="1"/>
    <col min="4" max="4" width="51.28515625" customWidth="1"/>
    <col min="5" max="5" width="40" customWidth="1"/>
    <col min="6" max="6" width="91.42578125" customWidth="1"/>
    <col min="7" max="7" width="63.5703125" style="11" bestFit="1" customWidth="1"/>
  </cols>
  <sheetData>
    <row r="1" spans="1:11" s="9" customFormat="1" ht="18.75" x14ac:dyDescent="0.3">
      <c r="A1" s="9" t="s">
        <v>209</v>
      </c>
      <c r="G1" s="17"/>
    </row>
    <row r="3" spans="1:11" s="1" customFormat="1" x14ac:dyDescent="0.25">
      <c r="A3" s="22" t="s">
        <v>210</v>
      </c>
      <c r="B3" s="29" t="s">
        <v>211</v>
      </c>
      <c r="C3" s="23" t="s">
        <v>212</v>
      </c>
      <c r="E3" s="1" t="s">
        <v>249</v>
      </c>
      <c r="G3" s="18"/>
    </row>
    <row r="4" spans="1:11" x14ac:dyDescent="0.25">
      <c r="A4" s="24" t="s">
        <v>213</v>
      </c>
      <c r="B4" s="10" t="s">
        <v>214</v>
      </c>
      <c r="C4" s="25">
        <v>0</v>
      </c>
    </row>
    <row r="5" spans="1:11" x14ac:dyDescent="0.25">
      <c r="A5" s="24" t="s">
        <v>215</v>
      </c>
      <c r="B5" s="10" t="s">
        <v>216</v>
      </c>
      <c r="C5" s="25">
        <v>0.2</v>
      </c>
    </row>
    <row r="6" spans="1:11" x14ac:dyDescent="0.25">
      <c r="A6" s="24" t="s">
        <v>217</v>
      </c>
      <c r="B6" s="10" t="s">
        <v>218</v>
      </c>
      <c r="C6" s="25">
        <v>0.4</v>
      </c>
    </row>
    <row r="7" spans="1:11" x14ac:dyDescent="0.25">
      <c r="A7" s="26" t="s">
        <v>219</v>
      </c>
      <c r="B7" s="30" t="s">
        <v>220</v>
      </c>
      <c r="C7" s="27">
        <v>0.45</v>
      </c>
    </row>
    <row r="9" spans="1:11" x14ac:dyDescent="0.25">
      <c r="A9" s="10" t="s">
        <v>221</v>
      </c>
    </row>
    <row r="11" spans="1:11" x14ac:dyDescent="0.25">
      <c r="A11" s="13" t="s">
        <v>222</v>
      </c>
      <c r="B11" s="13" t="s">
        <v>223</v>
      </c>
      <c r="C11" s="14"/>
      <c r="D11" s="14"/>
      <c r="F11" s="15" t="s">
        <v>231</v>
      </c>
      <c r="G11" s="19" t="s">
        <v>223</v>
      </c>
      <c r="H11" s="16"/>
      <c r="I11" s="16"/>
      <c r="J11" s="16"/>
      <c r="K11" s="16"/>
    </row>
    <row r="12" spans="1:11" x14ac:dyDescent="0.25">
      <c r="A12" s="14"/>
      <c r="B12" s="14"/>
      <c r="C12" s="14"/>
      <c r="D12" s="14"/>
      <c r="F12" s="16"/>
      <c r="G12" s="20"/>
      <c r="H12" s="16"/>
      <c r="I12" s="16"/>
      <c r="J12" s="16"/>
      <c r="K12" s="16"/>
    </row>
    <row r="13" spans="1:11" x14ac:dyDescent="0.25">
      <c r="A13" s="14" t="s">
        <v>224</v>
      </c>
      <c r="B13" s="31">
        <v>25000</v>
      </c>
      <c r="C13" s="14"/>
      <c r="D13" s="14"/>
      <c r="F13" s="16" t="s">
        <v>224</v>
      </c>
      <c r="G13" s="20">
        <v>25000</v>
      </c>
      <c r="H13" s="16"/>
      <c r="I13" s="16"/>
      <c r="J13" s="16"/>
      <c r="K13" s="16"/>
    </row>
    <row r="14" spans="1:11" x14ac:dyDescent="0.25">
      <c r="A14" s="14" t="s">
        <v>164</v>
      </c>
      <c r="B14" s="31">
        <v>55000</v>
      </c>
      <c r="C14" s="14"/>
      <c r="D14" s="14"/>
      <c r="F14" s="16" t="s">
        <v>164</v>
      </c>
      <c r="G14" s="20">
        <v>55000</v>
      </c>
      <c r="H14" s="16"/>
      <c r="I14" s="16"/>
      <c r="J14" s="16"/>
      <c r="K14" s="16"/>
    </row>
    <row r="15" spans="1:11" x14ac:dyDescent="0.25">
      <c r="A15" s="14" t="s">
        <v>225</v>
      </c>
      <c r="B15" s="31">
        <v>24000</v>
      </c>
      <c r="C15" s="14"/>
      <c r="D15" s="14"/>
      <c r="F15" s="16" t="s">
        <v>225</v>
      </c>
      <c r="G15" s="20">
        <v>24000</v>
      </c>
      <c r="H15" s="16"/>
      <c r="I15" s="16"/>
      <c r="J15" s="16"/>
      <c r="K15" s="16"/>
    </row>
    <row r="16" spans="1:11" ht="15.75" thickBot="1" x14ac:dyDescent="0.3">
      <c r="A16" s="13" t="s">
        <v>237</v>
      </c>
      <c r="B16" s="32">
        <f>SUM(B13:B15)</f>
        <v>104000</v>
      </c>
      <c r="C16" s="14"/>
      <c r="D16" s="14"/>
      <c r="F16" s="16" t="s">
        <v>232</v>
      </c>
      <c r="G16" s="20">
        <f>-12000*100/80</f>
        <v>-15000</v>
      </c>
      <c r="H16" s="16"/>
      <c r="I16" s="16"/>
      <c r="J16" s="16"/>
      <c r="K16" s="16"/>
    </row>
    <row r="17" spans="1:11" ht="16.5" thickTop="1" thickBot="1" x14ac:dyDescent="0.3">
      <c r="A17" s="14"/>
      <c r="B17" s="14"/>
      <c r="C17" s="14"/>
      <c r="D17" s="14"/>
      <c r="F17" s="15" t="s">
        <v>236</v>
      </c>
      <c r="G17" s="21">
        <f>SUM(G13:G16)</f>
        <v>89000</v>
      </c>
      <c r="H17" s="16"/>
      <c r="I17" s="16"/>
      <c r="J17" s="16"/>
      <c r="K17" s="16"/>
    </row>
    <row r="18" spans="1:11" ht="15.75" thickTop="1" x14ac:dyDescent="0.25">
      <c r="A18" s="14" t="s">
        <v>226</v>
      </c>
      <c r="B18" s="31">
        <f>(104000-100000)/2</f>
        <v>2000</v>
      </c>
      <c r="C18" s="14" t="s">
        <v>227</v>
      </c>
      <c r="D18" s="14"/>
      <c r="F18" s="16"/>
      <c r="G18" s="20"/>
      <c r="H18" s="16"/>
      <c r="I18" s="16"/>
      <c r="J18" s="16"/>
      <c r="K18" s="16"/>
    </row>
    <row r="19" spans="1:11" x14ac:dyDescent="0.25">
      <c r="A19" s="14" t="s">
        <v>230</v>
      </c>
      <c r="B19" s="33">
        <f>12570-B18</f>
        <v>10570</v>
      </c>
      <c r="C19" s="14"/>
      <c r="D19" s="14"/>
      <c r="F19" s="16" t="s">
        <v>234</v>
      </c>
      <c r="G19" s="20"/>
      <c r="H19" s="16"/>
      <c r="I19" s="16"/>
      <c r="J19" s="16"/>
      <c r="K19" s="16"/>
    </row>
    <row r="20" spans="1:11" x14ac:dyDescent="0.25">
      <c r="A20" s="14"/>
      <c r="B20" s="14"/>
      <c r="C20" s="14"/>
      <c r="D20" s="14"/>
      <c r="F20" s="16" t="s">
        <v>235</v>
      </c>
      <c r="G20" s="19">
        <f>SUM(G13:G15)-12570</f>
        <v>91430</v>
      </c>
      <c r="H20" s="16"/>
      <c r="I20" s="16"/>
      <c r="J20" s="16"/>
      <c r="K20" s="16"/>
    </row>
    <row r="21" spans="1:11" x14ac:dyDescent="0.25">
      <c r="A21" s="14" t="s">
        <v>235</v>
      </c>
      <c r="B21" s="34">
        <f>B16-B19</f>
        <v>93430</v>
      </c>
      <c r="C21" s="14"/>
      <c r="D21" s="14"/>
      <c r="F21" s="16" t="s">
        <v>228</v>
      </c>
      <c r="G21" s="20">
        <f>(50270-12571)*20%</f>
        <v>7539.8</v>
      </c>
      <c r="H21" s="16"/>
      <c r="I21" s="16"/>
      <c r="J21" s="16"/>
      <c r="K21" s="16"/>
    </row>
    <row r="22" spans="1:11" x14ac:dyDescent="0.25">
      <c r="A22" s="14"/>
      <c r="B22" s="14"/>
      <c r="C22" s="14"/>
      <c r="D22" s="14"/>
      <c r="F22" s="16"/>
      <c r="G22" s="20">
        <f>(G20-50271)*40%</f>
        <v>16463.600000000002</v>
      </c>
      <c r="H22" s="16"/>
      <c r="I22" s="16"/>
      <c r="J22" s="16"/>
      <c r="K22" s="16"/>
    </row>
    <row r="23" spans="1:11" x14ac:dyDescent="0.25">
      <c r="A23" s="14" t="s">
        <v>228</v>
      </c>
      <c r="B23" s="31">
        <f>(50270-12571)*20%</f>
        <v>7539.8</v>
      </c>
      <c r="C23" s="14"/>
      <c r="D23" s="14"/>
      <c r="F23" s="16"/>
      <c r="G23" s="20">
        <f>SUM(G21:G22)</f>
        <v>24003.4</v>
      </c>
      <c r="H23" s="16"/>
      <c r="I23" s="16"/>
      <c r="J23" s="16"/>
      <c r="K23" s="16"/>
    </row>
    <row r="24" spans="1:11" x14ac:dyDescent="0.25">
      <c r="A24" s="14"/>
      <c r="B24" s="31">
        <f>(B21-50271)*40%</f>
        <v>17263.600000000002</v>
      </c>
      <c r="C24" s="14"/>
      <c r="D24" s="14"/>
      <c r="F24" s="16" t="s">
        <v>239</v>
      </c>
      <c r="G24" s="20">
        <f>12000+G16</f>
        <v>-3000</v>
      </c>
      <c r="H24" s="16"/>
      <c r="I24" s="16"/>
      <c r="J24" s="16"/>
      <c r="K24" s="16"/>
    </row>
    <row r="25" spans="1:11" x14ac:dyDescent="0.25">
      <c r="A25" s="14"/>
      <c r="B25" s="35">
        <f>SUM(B23:B24)</f>
        <v>24803.4</v>
      </c>
      <c r="C25" s="14"/>
      <c r="D25" s="14"/>
      <c r="F25" s="16"/>
      <c r="G25" s="28">
        <f>SUM(G23:G24)</f>
        <v>21003.4</v>
      </c>
      <c r="H25" s="16"/>
      <c r="I25" s="16"/>
      <c r="J25" s="16"/>
      <c r="K25" s="16"/>
    </row>
    <row r="27" spans="1:11" x14ac:dyDescent="0.25">
      <c r="A27" s="12" t="s">
        <v>229</v>
      </c>
      <c r="F27" t="s">
        <v>238</v>
      </c>
    </row>
    <row r="28" spans="1:11" x14ac:dyDescent="0.25">
      <c r="A28" t="s">
        <v>250</v>
      </c>
    </row>
    <row r="30" spans="1:11" s="9" customFormat="1" ht="18.75" x14ac:dyDescent="0.3">
      <c r="A30" s="9" t="s">
        <v>205</v>
      </c>
      <c r="G30" s="17"/>
    </row>
    <row r="32" spans="1:11" s="1" customFormat="1" ht="33.75" customHeight="1" x14ac:dyDescent="0.25">
      <c r="A32" s="41" t="s">
        <v>210</v>
      </c>
      <c r="B32" s="42" t="s">
        <v>211</v>
      </c>
      <c r="C32" s="43" t="s">
        <v>212</v>
      </c>
      <c r="E32" s="204" t="s">
        <v>252</v>
      </c>
      <c r="F32" s="204"/>
      <c r="G32" s="18"/>
    </row>
    <row r="33" spans="1:7" x14ac:dyDescent="0.25">
      <c r="A33" s="44" t="s">
        <v>213</v>
      </c>
      <c r="B33" s="37" t="s">
        <v>214</v>
      </c>
      <c r="C33" s="45">
        <v>0</v>
      </c>
      <c r="E33" s="204"/>
      <c r="F33" s="204"/>
    </row>
    <row r="34" spans="1:7" x14ac:dyDescent="0.25">
      <c r="A34" s="44" t="s">
        <v>240</v>
      </c>
      <c r="B34" s="37" t="s">
        <v>241</v>
      </c>
      <c r="C34" s="45">
        <v>0.19</v>
      </c>
      <c r="E34" s="204"/>
      <c r="F34" s="204"/>
    </row>
    <row r="35" spans="1:7" x14ac:dyDescent="0.25">
      <c r="A35" s="44" t="s">
        <v>215</v>
      </c>
      <c r="B35" s="37" t="s">
        <v>242</v>
      </c>
      <c r="C35" s="45">
        <v>0.2</v>
      </c>
      <c r="E35" s="204"/>
      <c r="F35" s="204"/>
    </row>
    <row r="36" spans="1:7" x14ac:dyDescent="0.25">
      <c r="A36" s="44" t="s">
        <v>243</v>
      </c>
      <c r="B36" s="37" t="s">
        <v>244</v>
      </c>
      <c r="C36" s="45">
        <v>0.21</v>
      </c>
      <c r="E36" s="204"/>
      <c r="F36" s="204"/>
    </row>
    <row r="37" spans="1:7" x14ac:dyDescent="0.25">
      <c r="A37" s="44" t="s">
        <v>217</v>
      </c>
      <c r="B37" s="37" t="s">
        <v>245</v>
      </c>
      <c r="C37" s="45">
        <v>0.42</v>
      </c>
    </row>
    <row r="38" spans="1:7" x14ac:dyDescent="0.25">
      <c r="A38" s="44" t="s">
        <v>246</v>
      </c>
      <c r="B38" s="37" t="s">
        <v>247</v>
      </c>
      <c r="C38" s="45">
        <v>0.45</v>
      </c>
    </row>
    <row r="39" spans="1:7" x14ac:dyDescent="0.25">
      <c r="A39" s="46" t="s">
        <v>248</v>
      </c>
      <c r="B39" s="47" t="s">
        <v>220</v>
      </c>
      <c r="C39" s="48">
        <v>0.48</v>
      </c>
    </row>
    <row r="41" spans="1:7" x14ac:dyDescent="0.25">
      <c r="A41" s="10" t="s">
        <v>251</v>
      </c>
    </row>
    <row r="44" spans="1:7" s="9" customFormat="1" ht="18.75" x14ac:dyDescent="0.3">
      <c r="A44" s="9" t="s">
        <v>208</v>
      </c>
      <c r="G44" s="17"/>
    </row>
    <row r="46" spans="1:7" x14ac:dyDescent="0.25">
      <c r="A46" s="10" t="s">
        <v>253</v>
      </c>
    </row>
    <row r="47" spans="1:7" ht="28.5" x14ac:dyDescent="0.25">
      <c r="A47" s="40" t="s">
        <v>210</v>
      </c>
      <c r="B47" s="40" t="s">
        <v>263</v>
      </c>
      <c r="C47" s="40" t="s">
        <v>254</v>
      </c>
      <c r="G47" s="36"/>
    </row>
    <row r="48" spans="1:7" x14ac:dyDescent="0.25">
      <c r="A48" s="10" t="s">
        <v>255</v>
      </c>
      <c r="B48" s="10" t="s">
        <v>257</v>
      </c>
      <c r="C48" s="38">
        <v>0</v>
      </c>
      <c r="G48" s="36"/>
    </row>
    <row r="49" spans="1:7" x14ac:dyDescent="0.25">
      <c r="A49" s="37" t="s">
        <v>215</v>
      </c>
      <c r="B49" s="10" t="s">
        <v>216</v>
      </c>
      <c r="C49" s="39">
        <v>8.7499999999999994E-2</v>
      </c>
      <c r="G49" s="36"/>
    </row>
    <row r="50" spans="1:7" x14ac:dyDescent="0.25">
      <c r="A50" s="37" t="s">
        <v>217</v>
      </c>
      <c r="B50" s="10" t="s">
        <v>218</v>
      </c>
      <c r="C50" s="39">
        <v>0.33750000000000002</v>
      </c>
      <c r="G50" s="36"/>
    </row>
    <row r="51" spans="1:7" x14ac:dyDescent="0.25">
      <c r="A51" s="37" t="s">
        <v>219</v>
      </c>
      <c r="B51" s="10" t="s">
        <v>220</v>
      </c>
      <c r="C51" s="39">
        <v>0.39350000000000002</v>
      </c>
      <c r="G51" s="36"/>
    </row>
    <row r="53" spans="1:7" x14ac:dyDescent="0.25">
      <c r="A53" s="10" t="s">
        <v>256</v>
      </c>
      <c r="G53" s="36"/>
    </row>
    <row r="54" spans="1:7" x14ac:dyDescent="0.25">
      <c r="G54" s="36"/>
    </row>
    <row r="55" spans="1:7" x14ac:dyDescent="0.25">
      <c r="A55" t="s">
        <v>752</v>
      </c>
    </row>
    <row r="57" spans="1:7" s="9" customFormat="1" ht="18.75" x14ac:dyDescent="0.3">
      <c r="A57" s="9" t="s">
        <v>207</v>
      </c>
      <c r="G57" s="17"/>
    </row>
    <row r="60" spans="1:7" x14ac:dyDescent="0.25">
      <c r="A60" s="40" t="s">
        <v>258</v>
      </c>
      <c r="B60" s="40" t="s">
        <v>81</v>
      </c>
      <c r="C60" s="40" t="s">
        <v>259</v>
      </c>
      <c r="G60" s="36"/>
    </row>
    <row r="61" spans="1:7" x14ac:dyDescent="0.25">
      <c r="A61" s="10" t="s">
        <v>260</v>
      </c>
      <c r="B61" s="10">
        <v>1000</v>
      </c>
      <c r="C61" s="38">
        <v>0.2</v>
      </c>
      <c r="G61" s="36"/>
    </row>
    <row r="62" spans="1:7" x14ac:dyDescent="0.25">
      <c r="A62" s="37" t="s">
        <v>261</v>
      </c>
      <c r="B62" s="10">
        <v>500</v>
      </c>
      <c r="C62" s="39">
        <v>0.4</v>
      </c>
      <c r="G62" s="36"/>
    </row>
    <row r="63" spans="1:7" x14ac:dyDescent="0.25">
      <c r="A63" s="37" t="s">
        <v>262</v>
      </c>
      <c r="B63" s="10">
        <v>0</v>
      </c>
      <c r="C63" s="39">
        <v>0.45</v>
      </c>
      <c r="G63" s="36"/>
    </row>
    <row r="66" spans="1:7" x14ac:dyDescent="0.25">
      <c r="A66" s="10" t="s">
        <v>264</v>
      </c>
    </row>
    <row r="67" spans="1:7" x14ac:dyDescent="0.25">
      <c r="A67" s="10" t="s">
        <v>265</v>
      </c>
    </row>
    <row r="69" spans="1:7" x14ac:dyDescent="0.25">
      <c r="A69" t="s">
        <v>752</v>
      </c>
    </row>
    <row r="71" spans="1:7" s="9" customFormat="1" ht="18.75" x14ac:dyDescent="0.3">
      <c r="A71" s="9" t="s">
        <v>206</v>
      </c>
      <c r="G71" s="17"/>
    </row>
    <row r="73" spans="1:7" ht="28.5" x14ac:dyDescent="0.25">
      <c r="A73" s="40" t="s">
        <v>294</v>
      </c>
      <c r="B73" s="40" t="s">
        <v>260</v>
      </c>
      <c r="C73" s="40" t="s">
        <v>295</v>
      </c>
      <c r="G73" s="36"/>
    </row>
    <row r="74" spans="1:7" x14ac:dyDescent="0.25">
      <c r="A74" s="10" t="s">
        <v>296</v>
      </c>
      <c r="B74" s="50">
        <v>0.1</v>
      </c>
      <c r="C74" s="50">
        <v>0.2</v>
      </c>
      <c r="G74" s="36"/>
    </row>
    <row r="75" spans="1:7" x14ac:dyDescent="0.25">
      <c r="A75" s="37" t="s">
        <v>297</v>
      </c>
      <c r="B75" s="50">
        <v>0.18</v>
      </c>
      <c r="C75" s="50">
        <v>0.24</v>
      </c>
      <c r="G75" s="36"/>
    </row>
    <row r="77" spans="1:7" ht="17.25" x14ac:dyDescent="0.25">
      <c r="A77" s="52" t="s">
        <v>298</v>
      </c>
    </row>
    <row r="78" spans="1:7" x14ac:dyDescent="0.25">
      <c r="A78" s="10" t="s">
        <v>299</v>
      </c>
    </row>
    <row r="79" spans="1:7" x14ac:dyDescent="0.25">
      <c r="A79" s="10" t="s">
        <v>300</v>
      </c>
    </row>
    <row r="80" spans="1:7" x14ac:dyDescent="0.25">
      <c r="A80" s="10" t="s">
        <v>301</v>
      </c>
    </row>
    <row r="81" spans="1:7" x14ac:dyDescent="0.25">
      <c r="A81" s="10" t="s">
        <v>302</v>
      </c>
    </row>
    <row r="82" spans="1:7" x14ac:dyDescent="0.25">
      <c r="A82" s="10" t="s">
        <v>303</v>
      </c>
    </row>
    <row r="83" spans="1:7" x14ac:dyDescent="0.25">
      <c r="A83" s="10"/>
    </row>
    <row r="84" spans="1:7" x14ac:dyDescent="0.25">
      <c r="A84" s="10"/>
    </row>
    <row r="85" spans="1:7" ht="17.25" x14ac:dyDescent="0.25">
      <c r="A85" s="52" t="s">
        <v>222</v>
      </c>
    </row>
    <row r="86" spans="1:7" s="3" customFormat="1" ht="45" customHeight="1" x14ac:dyDescent="0.25">
      <c r="A86" s="205" t="s">
        <v>343</v>
      </c>
      <c r="B86" s="205"/>
      <c r="C86" s="205"/>
      <c r="D86" s="205"/>
      <c r="E86" s="205"/>
      <c r="F86" s="205"/>
      <c r="G86" s="180"/>
    </row>
    <row r="87" spans="1:7" x14ac:dyDescent="0.25">
      <c r="A87" s="10" t="s">
        <v>304</v>
      </c>
    </row>
    <row r="88" spans="1:7" x14ac:dyDescent="0.25">
      <c r="A88" s="10" t="s">
        <v>305</v>
      </c>
    </row>
    <row r="89" spans="1:7" x14ac:dyDescent="0.25">
      <c r="A89" s="10" t="s">
        <v>306</v>
      </c>
    </row>
    <row r="92" spans="1:7" ht="17.25" x14ac:dyDescent="0.25">
      <c r="A92" s="52" t="s">
        <v>340</v>
      </c>
    </row>
    <row r="93" spans="1:7" x14ac:dyDescent="0.25">
      <c r="A93" s="54" t="s">
        <v>341</v>
      </c>
    </row>
    <row r="94" spans="1:7" x14ac:dyDescent="0.25">
      <c r="A94" s="10" t="s">
        <v>332</v>
      </c>
    </row>
    <row r="95" spans="1:7" ht="35.25" customHeight="1" x14ac:dyDescent="0.25">
      <c r="A95" s="206" t="s">
        <v>342</v>
      </c>
      <c r="B95" s="206"/>
      <c r="C95" s="206"/>
      <c r="D95" s="206"/>
      <c r="E95" s="206"/>
      <c r="F95" s="206"/>
      <c r="G95" s="181"/>
    </row>
    <row r="96" spans="1:7" x14ac:dyDescent="0.25">
      <c r="A96" s="10" t="s">
        <v>334</v>
      </c>
    </row>
    <row r="97" spans="1:7" x14ac:dyDescent="0.25">
      <c r="A97" s="10" t="s">
        <v>335</v>
      </c>
    </row>
    <row r="98" spans="1:7" x14ac:dyDescent="0.25">
      <c r="A98" s="10" t="s">
        <v>336</v>
      </c>
    </row>
    <row r="99" spans="1:7" x14ac:dyDescent="0.25">
      <c r="A99" s="10" t="s">
        <v>337</v>
      </c>
    </row>
    <row r="100" spans="1:7" x14ac:dyDescent="0.25">
      <c r="A100" s="10" t="s">
        <v>338</v>
      </c>
    </row>
    <row r="101" spans="1:7" x14ac:dyDescent="0.25">
      <c r="A101" s="10" t="s">
        <v>339</v>
      </c>
    </row>
    <row r="103" spans="1:7" ht="17.25" x14ac:dyDescent="0.25">
      <c r="A103" s="52" t="s">
        <v>344</v>
      </c>
      <c r="E103" s="1"/>
    </row>
    <row r="104" spans="1:7" x14ac:dyDescent="0.25">
      <c r="E104" s="1" t="s">
        <v>118</v>
      </c>
    </row>
    <row r="105" spans="1:7" s="3" customFormat="1" x14ac:dyDescent="0.25">
      <c r="A105" s="54" t="s">
        <v>345</v>
      </c>
      <c r="E105" s="207" t="s">
        <v>2032</v>
      </c>
      <c r="F105" s="207"/>
      <c r="G105" s="207"/>
    </row>
    <row r="106" spans="1:7" x14ac:dyDescent="0.25">
      <c r="A106" s="10" t="s">
        <v>332</v>
      </c>
      <c r="E106" s="207"/>
      <c r="F106" s="207"/>
      <c r="G106" s="207"/>
    </row>
    <row r="107" spans="1:7" x14ac:dyDescent="0.25">
      <c r="A107" s="10" t="s">
        <v>333</v>
      </c>
    </row>
    <row r="108" spans="1:7" x14ac:dyDescent="0.25">
      <c r="A108" s="10" t="s">
        <v>346</v>
      </c>
    </row>
    <row r="109" spans="1:7" x14ac:dyDescent="0.25">
      <c r="A109" s="10" t="s">
        <v>347</v>
      </c>
    </row>
    <row r="110" spans="1:7" x14ac:dyDescent="0.25">
      <c r="A110" s="10" t="s">
        <v>348</v>
      </c>
    </row>
    <row r="111" spans="1:7" x14ac:dyDescent="0.25">
      <c r="A111" s="10" t="s">
        <v>349</v>
      </c>
    </row>
    <row r="112" spans="1:7" x14ac:dyDescent="0.25">
      <c r="A112" s="10" t="s">
        <v>350</v>
      </c>
    </row>
    <row r="113" spans="1:7" x14ac:dyDescent="0.25">
      <c r="A113" s="10" t="s">
        <v>351</v>
      </c>
    </row>
    <row r="115" spans="1:7" x14ac:dyDescent="0.25">
      <c r="A115" s="206" t="s">
        <v>352</v>
      </c>
      <c r="B115" s="206"/>
      <c r="C115" s="206"/>
      <c r="D115" s="206"/>
      <c r="G115" s="181"/>
    </row>
    <row r="116" spans="1:7" x14ac:dyDescent="0.25">
      <c r="A116" s="206"/>
      <c r="B116" s="206"/>
      <c r="C116" s="206"/>
      <c r="D116" s="206"/>
      <c r="G116" s="181"/>
    </row>
    <row r="118" spans="1:7" s="9" customFormat="1" ht="18.75" x14ac:dyDescent="0.3">
      <c r="A118" s="9" t="s">
        <v>320</v>
      </c>
      <c r="G118" s="17"/>
    </row>
    <row r="120" spans="1:7" x14ac:dyDescent="0.25">
      <c r="A120" s="10" t="s">
        <v>307</v>
      </c>
      <c r="E120" s="6" t="s">
        <v>2033</v>
      </c>
    </row>
    <row r="121" spans="1:7" x14ac:dyDescent="0.25">
      <c r="A121" s="53" t="s">
        <v>322</v>
      </c>
      <c r="E121" s="6" t="s">
        <v>321</v>
      </c>
    </row>
    <row r="122" spans="1:7" x14ac:dyDescent="0.25">
      <c r="A122" s="10"/>
      <c r="E122" s="6" t="s">
        <v>323</v>
      </c>
    </row>
    <row r="123" spans="1:7" s="1" customFormat="1" ht="36.75" customHeight="1" x14ac:dyDescent="0.25">
      <c r="A123" s="41" t="s">
        <v>308</v>
      </c>
      <c r="B123" s="42" t="s">
        <v>309</v>
      </c>
      <c r="C123" s="43" t="s">
        <v>310</v>
      </c>
      <c r="G123" s="18"/>
    </row>
    <row r="124" spans="1:7" x14ac:dyDescent="0.25">
      <c r="A124" s="44" t="s">
        <v>311</v>
      </c>
      <c r="B124" s="37" t="s">
        <v>214</v>
      </c>
      <c r="C124" s="45">
        <v>0</v>
      </c>
      <c r="E124" s="6" t="s">
        <v>2173</v>
      </c>
    </row>
    <row r="125" spans="1:7" x14ac:dyDescent="0.25">
      <c r="A125" s="44" t="s">
        <v>312</v>
      </c>
      <c r="B125" s="37" t="s">
        <v>216</v>
      </c>
      <c r="C125" s="45">
        <v>0.06</v>
      </c>
    </row>
    <row r="126" spans="1:7" x14ac:dyDescent="0.25">
      <c r="A126" s="46" t="s">
        <v>219</v>
      </c>
      <c r="B126" s="47" t="s">
        <v>313</v>
      </c>
      <c r="C126" s="48">
        <v>0.02</v>
      </c>
    </row>
    <row r="127" spans="1:7" x14ac:dyDescent="0.25">
      <c r="A127" s="37"/>
      <c r="B127" s="37"/>
      <c r="C127" s="38"/>
    </row>
    <row r="128" spans="1:7" ht="17.25" x14ac:dyDescent="0.25">
      <c r="A128" s="51" t="s">
        <v>314</v>
      </c>
    </row>
    <row r="129" spans="1:7" x14ac:dyDescent="0.25">
      <c r="A129" s="10" t="s">
        <v>315</v>
      </c>
    </row>
    <row r="130" spans="1:7" x14ac:dyDescent="0.25">
      <c r="A130" s="10" t="s">
        <v>316</v>
      </c>
    </row>
    <row r="131" spans="1:7" x14ac:dyDescent="0.25">
      <c r="A131" s="10" t="s">
        <v>317</v>
      </c>
    </row>
    <row r="132" spans="1:7" x14ac:dyDescent="0.25">
      <c r="A132" s="10" t="s">
        <v>318</v>
      </c>
    </row>
    <row r="133" spans="1:7" x14ac:dyDescent="0.25">
      <c r="A133" s="10" t="s">
        <v>319</v>
      </c>
    </row>
    <row r="135" spans="1:7" s="9" customFormat="1" ht="18.75" x14ac:dyDescent="0.3">
      <c r="A135" s="9" t="s">
        <v>759</v>
      </c>
      <c r="G135" s="17"/>
    </row>
    <row r="137" spans="1:7" x14ac:dyDescent="0.25">
      <c r="A137" t="s">
        <v>2547</v>
      </c>
    </row>
    <row r="138" spans="1:7" x14ac:dyDescent="0.25">
      <c r="A138" t="s">
        <v>898</v>
      </c>
      <c r="C138" t="s">
        <v>899</v>
      </c>
    </row>
    <row r="140" spans="1:7" x14ac:dyDescent="0.25">
      <c r="A140" s="89" t="s">
        <v>763</v>
      </c>
      <c r="F140" s="165" t="s">
        <v>2001</v>
      </c>
      <c r="G140" s="166" t="s">
        <v>2002</v>
      </c>
    </row>
    <row r="141" spans="1:7" x14ac:dyDescent="0.25">
      <c r="A141" t="s">
        <v>764</v>
      </c>
    </row>
    <row r="142" spans="1:7" x14ac:dyDescent="0.25">
      <c r="A142" t="s">
        <v>765</v>
      </c>
      <c r="B142" s="105">
        <f>1000*1.25</f>
        <v>1250</v>
      </c>
    </row>
    <row r="144" spans="1:7" x14ac:dyDescent="0.25">
      <c r="A144" t="s">
        <v>766</v>
      </c>
    </row>
    <row r="145" spans="1:7" x14ac:dyDescent="0.25">
      <c r="A145" t="s">
        <v>929</v>
      </c>
    </row>
    <row r="146" spans="1:7" x14ac:dyDescent="0.25">
      <c r="A146" t="s">
        <v>767</v>
      </c>
    </row>
    <row r="148" spans="1:7" x14ac:dyDescent="0.25">
      <c r="A148" t="s">
        <v>2488</v>
      </c>
    </row>
    <row r="150" spans="1:7" s="9" customFormat="1" ht="18.75" x14ac:dyDescent="0.3">
      <c r="A150" s="9" t="s">
        <v>232</v>
      </c>
      <c r="G150" s="17"/>
    </row>
    <row r="152" spans="1:7" x14ac:dyDescent="0.25">
      <c r="A152" t="s">
        <v>2487</v>
      </c>
    </row>
    <row r="153" spans="1:7" x14ac:dyDescent="0.25">
      <c r="A153" t="s">
        <v>901</v>
      </c>
      <c r="E153" t="s">
        <v>902</v>
      </c>
    </row>
    <row r="157" spans="1:7" x14ac:dyDescent="0.25">
      <c r="A157" s="89" t="s">
        <v>763</v>
      </c>
      <c r="F157" s="165" t="s">
        <v>2001</v>
      </c>
      <c r="G157" s="164" t="s">
        <v>2000</v>
      </c>
    </row>
    <row r="158" spans="1:7" x14ac:dyDescent="0.25">
      <c r="A158" t="s">
        <v>760</v>
      </c>
    </row>
    <row r="159" spans="1:7" x14ac:dyDescent="0.25">
      <c r="A159" t="s">
        <v>762</v>
      </c>
      <c r="B159" s="105">
        <f>2000*1.25</f>
        <v>2500</v>
      </c>
    </row>
    <row r="161" spans="1:7" x14ac:dyDescent="0.25">
      <c r="A161" t="s">
        <v>761</v>
      </c>
    </row>
    <row r="162" spans="1:7" x14ac:dyDescent="0.25">
      <c r="A162" t="s">
        <v>929</v>
      </c>
    </row>
    <row r="163" spans="1:7" x14ac:dyDescent="0.25">
      <c r="A163" t="s">
        <v>767</v>
      </c>
    </row>
    <row r="165" spans="1:7" x14ac:dyDescent="0.25">
      <c r="A165" t="s">
        <v>2488</v>
      </c>
    </row>
    <row r="167" spans="1:7" s="9" customFormat="1" ht="18.75" x14ac:dyDescent="0.3">
      <c r="A167" s="9" t="s">
        <v>850</v>
      </c>
      <c r="G167" s="17"/>
    </row>
    <row r="169" spans="1:7" x14ac:dyDescent="0.25">
      <c r="A169" t="s">
        <v>851</v>
      </c>
    </row>
    <row r="171" spans="1:7" x14ac:dyDescent="0.25">
      <c r="A171" t="s">
        <v>852</v>
      </c>
    </row>
    <row r="173" spans="1:7" x14ac:dyDescent="0.25">
      <c r="A173" t="s">
        <v>853</v>
      </c>
      <c r="F173" s="165" t="s">
        <v>2001</v>
      </c>
      <c r="G173" s="164" t="s">
        <v>2003</v>
      </c>
    </row>
    <row r="174" spans="1:7" x14ac:dyDescent="0.25">
      <c r="A174" t="s">
        <v>854</v>
      </c>
    </row>
    <row r="175" spans="1:7" x14ac:dyDescent="0.25">
      <c r="A175" t="s">
        <v>877</v>
      </c>
    </row>
    <row r="176" spans="1:7" x14ac:dyDescent="0.25">
      <c r="A176" t="s">
        <v>855</v>
      </c>
    </row>
    <row r="177" spans="1:7" x14ac:dyDescent="0.25">
      <c r="A177" t="s">
        <v>856</v>
      </c>
    </row>
    <row r="179" spans="1:7" x14ac:dyDescent="0.25">
      <c r="A179" t="s">
        <v>857</v>
      </c>
    </row>
    <row r="181" spans="1:7" x14ac:dyDescent="0.25">
      <c r="A181" t="s">
        <v>876</v>
      </c>
    </row>
    <row r="183" spans="1:7" x14ac:dyDescent="0.25">
      <c r="A183" s="1" t="s">
        <v>892</v>
      </c>
    </row>
    <row r="184" spans="1:7" x14ac:dyDescent="0.25">
      <c r="A184" t="s">
        <v>878</v>
      </c>
      <c r="B184" t="s">
        <v>881</v>
      </c>
    </row>
    <row r="185" spans="1:7" x14ac:dyDescent="0.25">
      <c r="A185" t="s">
        <v>879</v>
      </c>
      <c r="B185" t="s">
        <v>880</v>
      </c>
      <c r="C185" s="107" t="s">
        <v>893</v>
      </c>
    </row>
    <row r="186" spans="1:7" x14ac:dyDescent="0.25">
      <c r="C186" s="107"/>
    </row>
    <row r="187" spans="1:7" x14ac:dyDescent="0.25">
      <c r="A187" t="s">
        <v>894</v>
      </c>
      <c r="C187" s="107"/>
    </row>
    <row r="188" spans="1:7" x14ac:dyDescent="0.25">
      <c r="C188" s="107"/>
    </row>
    <row r="189" spans="1:7" ht="15.75" x14ac:dyDescent="0.25">
      <c r="A189" s="108" t="s">
        <v>882</v>
      </c>
    </row>
    <row r="191" spans="1:7" s="1" customFormat="1" x14ac:dyDescent="0.25">
      <c r="A191" s="1" t="s">
        <v>883</v>
      </c>
      <c r="B191" s="1" t="s">
        <v>884</v>
      </c>
      <c r="C191" s="1" t="s">
        <v>886</v>
      </c>
      <c r="D191" s="1" t="s">
        <v>887</v>
      </c>
      <c r="G191" s="18"/>
    </row>
    <row r="192" spans="1:7" x14ac:dyDescent="0.25">
      <c r="A192" s="7">
        <v>7000</v>
      </c>
      <c r="B192" t="s">
        <v>888</v>
      </c>
      <c r="C192" s="7">
        <f>12570-A192</f>
        <v>5570</v>
      </c>
      <c r="D192" t="s">
        <v>890</v>
      </c>
    </row>
    <row r="193" spans="1:7" x14ac:dyDescent="0.25">
      <c r="A193" s="7">
        <v>11000</v>
      </c>
      <c r="B193" t="s">
        <v>888</v>
      </c>
      <c r="C193" s="7">
        <f t="shared" ref="C193:C196" si="0">12570-A193</f>
        <v>1570</v>
      </c>
      <c r="D193" t="s">
        <v>890</v>
      </c>
    </row>
    <row r="194" spans="1:7" x14ac:dyDescent="0.25">
      <c r="A194" s="7">
        <v>12000</v>
      </c>
      <c r="B194" t="s">
        <v>885</v>
      </c>
      <c r="C194" s="7">
        <f t="shared" si="0"/>
        <v>570</v>
      </c>
      <c r="D194" t="s">
        <v>889</v>
      </c>
    </row>
    <row r="195" spans="1:7" x14ac:dyDescent="0.25">
      <c r="A195" s="7">
        <v>12500</v>
      </c>
      <c r="B195" t="s">
        <v>885</v>
      </c>
      <c r="C195" s="7">
        <f t="shared" si="0"/>
        <v>70</v>
      </c>
      <c r="D195" t="s">
        <v>889</v>
      </c>
    </row>
    <row r="196" spans="1:7" x14ac:dyDescent="0.25">
      <c r="A196" s="7">
        <v>12570</v>
      </c>
      <c r="B196" t="s">
        <v>885</v>
      </c>
      <c r="C196" s="7">
        <f t="shared" si="0"/>
        <v>0</v>
      </c>
      <c r="D196" t="s">
        <v>889</v>
      </c>
    </row>
    <row r="198" spans="1:7" x14ac:dyDescent="0.25">
      <c r="A198" t="s">
        <v>891</v>
      </c>
    </row>
    <row r="199" spans="1:7" x14ac:dyDescent="0.25">
      <c r="A199" t="s">
        <v>895</v>
      </c>
    </row>
    <row r="200" spans="1:7" x14ac:dyDescent="0.25">
      <c r="A200" t="s">
        <v>896</v>
      </c>
    </row>
    <row r="201" spans="1:7" x14ac:dyDescent="0.25">
      <c r="A201" t="s">
        <v>897</v>
      </c>
    </row>
    <row r="203" spans="1:7" x14ac:dyDescent="0.25">
      <c r="A203" s="1"/>
    </row>
    <row r="204" spans="1:7" s="9" customFormat="1" ht="18.75" x14ac:dyDescent="0.3">
      <c r="A204" s="9" t="s">
        <v>2546</v>
      </c>
      <c r="G204" s="17"/>
    </row>
    <row r="206" spans="1:7" x14ac:dyDescent="0.25">
      <c r="A206" t="s">
        <v>2172</v>
      </c>
    </row>
    <row r="207" spans="1:7" x14ac:dyDescent="0.25">
      <c r="A207" t="s">
        <v>2490</v>
      </c>
    </row>
    <row r="209" spans="1:7" x14ac:dyDescent="0.25">
      <c r="A209" t="s">
        <v>2489</v>
      </c>
      <c r="F209" s="165" t="s">
        <v>2001</v>
      </c>
      <c r="G209" s="163" t="s">
        <v>2036</v>
      </c>
    </row>
    <row r="211" spans="1:7" x14ac:dyDescent="0.25">
      <c r="A211" s="1" t="s">
        <v>858</v>
      </c>
    </row>
    <row r="212" spans="1:7" s="1" customFormat="1" x14ac:dyDescent="0.25">
      <c r="A212" t="s">
        <v>865</v>
      </c>
      <c r="B212" t="s">
        <v>866</v>
      </c>
      <c r="G212" s="18"/>
    </row>
    <row r="213" spans="1:7" s="3" customFormat="1" x14ac:dyDescent="0.25">
      <c r="A213" t="s">
        <v>867</v>
      </c>
      <c r="B213" t="s">
        <v>868</v>
      </c>
      <c r="G213" s="55"/>
    </row>
    <row r="215" spans="1:7" x14ac:dyDescent="0.25">
      <c r="A215" s="1" t="s">
        <v>869</v>
      </c>
    </row>
    <row r="216" spans="1:7" x14ac:dyDescent="0.25">
      <c r="A216" s="3" t="s">
        <v>860</v>
      </c>
    </row>
    <row r="218" spans="1:7" x14ac:dyDescent="0.25">
      <c r="A218" t="s">
        <v>859</v>
      </c>
    </row>
    <row r="220" spans="1:7" x14ac:dyDescent="0.25">
      <c r="A220" t="s">
        <v>861</v>
      </c>
      <c r="B220" t="s">
        <v>862</v>
      </c>
      <c r="C220" s="106">
        <f>2400/0.8</f>
        <v>3000</v>
      </c>
    </row>
    <row r="221" spans="1:7" s="3" customFormat="1" x14ac:dyDescent="0.25">
      <c r="A221" t="s">
        <v>863</v>
      </c>
      <c r="B221" t="s">
        <v>864</v>
      </c>
      <c r="C221" s="106">
        <v>600</v>
      </c>
      <c r="D221" t="s">
        <v>875</v>
      </c>
      <c r="G221" s="55"/>
    </row>
    <row r="223" spans="1:7" x14ac:dyDescent="0.25">
      <c r="A223" s="1" t="s">
        <v>870</v>
      </c>
    </row>
    <row r="224" spans="1:7" x14ac:dyDescent="0.25">
      <c r="A224" s="3" t="s">
        <v>874</v>
      </c>
    </row>
    <row r="226" spans="1:7" x14ac:dyDescent="0.25">
      <c r="A226" t="s">
        <v>871</v>
      </c>
    </row>
    <row r="228" spans="1:7" x14ac:dyDescent="0.25">
      <c r="A228" t="s">
        <v>861</v>
      </c>
      <c r="B228" t="s">
        <v>872</v>
      </c>
      <c r="C228" s="106">
        <f>2400/0.7</f>
        <v>3428.5714285714289</v>
      </c>
    </row>
    <row r="229" spans="1:7" x14ac:dyDescent="0.25">
      <c r="A229" t="s">
        <v>863</v>
      </c>
      <c r="B229" t="s">
        <v>873</v>
      </c>
      <c r="C229" s="106">
        <v>1028.5700000000002</v>
      </c>
      <c r="D229" t="s">
        <v>875</v>
      </c>
    </row>
    <row r="231" spans="1:7" x14ac:dyDescent="0.25">
      <c r="A231" s="1" t="s">
        <v>2031</v>
      </c>
    </row>
    <row r="232" spans="1:7" x14ac:dyDescent="0.25">
      <c r="A232" t="s">
        <v>2037</v>
      </c>
    </row>
    <row r="233" spans="1:7" x14ac:dyDescent="0.25">
      <c r="A233" t="s">
        <v>2490</v>
      </c>
    </row>
    <row r="234" spans="1:7" x14ac:dyDescent="0.25">
      <c r="A234" t="s">
        <v>2491</v>
      </c>
    </row>
    <row r="237" spans="1:7" ht="18.75" x14ac:dyDescent="0.3">
      <c r="A237" s="196" t="s">
        <v>2548</v>
      </c>
    </row>
    <row r="238" spans="1:7" x14ac:dyDescent="0.25">
      <c r="D238" s="1" t="s">
        <v>2494</v>
      </c>
      <c r="E238" s="1" t="s">
        <v>2031</v>
      </c>
      <c r="F238" s="1" t="s">
        <v>2551</v>
      </c>
    </row>
    <row r="239" spans="1:7" ht="63.75" customHeight="1" x14ac:dyDescent="0.25">
      <c r="A239" s="208" t="s">
        <v>2549</v>
      </c>
      <c r="B239" s="208"/>
      <c r="C239" s="209"/>
      <c r="D239" s="118" t="s">
        <v>2550</v>
      </c>
      <c r="E239" s="118" t="s">
        <v>2495</v>
      </c>
      <c r="F239" s="118" t="s">
        <v>1955</v>
      </c>
      <c r="G239"/>
    </row>
    <row r="243" spans="1:7" s="9" customFormat="1" ht="18.75" x14ac:dyDescent="0.3">
      <c r="A243" s="9" t="s">
        <v>2348</v>
      </c>
      <c r="G243" s="17"/>
    </row>
    <row r="244" spans="1:7" ht="4.5" customHeight="1" x14ac:dyDescent="0.25"/>
    <row r="245" spans="1:7" ht="21" x14ac:dyDescent="0.25">
      <c r="A245" s="187" t="s">
        <v>2349</v>
      </c>
    </row>
    <row r="246" spans="1:7" ht="18" x14ac:dyDescent="0.25">
      <c r="A246" s="188" t="s">
        <v>2350</v>
      </c>
    </row>
    <row r="247" spans="1:7" ht="19.5" x14ac:dyDescent="0.25">
      <c r="A247" s="189" t="s">
        <v>2351</v>
      </c>
    </row>
    <row r="248" spans="1:7" ht="18" x14ac:dyDescent="0.25">
      <c r="A248" s="188" t="s">
        <v>2352</v>
      </c>
    </row>
    <row r="249" spans="1:7" ht="18" x14ac:dyDescent="0.25">
      <c r="A249" s="188" t="s">
        <v>2353</v>
      </c>
    </row>
    <row r="250" spans="1:7" ht="18" x14ac:dyDescent="0.25">
      <c r="A250" s="188" t="s">
        <v>2357</v>
      </c>
    </row>
    <row r="251" spans="1:7" ht="18" x14ac:dyDescent="0.25">
      <c r="A251" s="188" t="s">
        <v>2354</v>
      </c>
    </row>
    <row r="252" spans="1:7" ht="19.5" x14ac:dyDescent="0.25">
      <c r="A252" s="189" t="s">
        <v>2355</v>
      </c>
    </row>
    <row r="253" spans="1:7" ht="18" x14ac:dyDescent="0.25">
      <c r="A253" s="188" t="s">
        <v>2356</v>
      </c>
    </row>
    <row r="254" spans="1:7" ht="19.5" x14ac:dyDescent="0.25">
      <c r="A254" s="189" t="s">
        <v>2358</v>
      </c>
    </row>
    <row r="255" spans="1:7" ht="18" x14ac:dyDescent="0.25">
      <c r="A255" s="188" t="s">
        <v>2359</v>
      </c>
    </row>
    <row r="256" spans="1:7" ht="18" x14ac:dyDescent="0.25">
      <c r="A256" s="188" t="s">
        <v>2360</v>
      </c>
    </row>
    <row r="257" spans="1:1" ht="18" x14ac:dyDescent="0.25">
      <c r="A257" s="188" t="s">
        <v>2361</v>
      </c>
    </row>
    <row r="258" spans="1:1" ht="18" x14ac:dyDescent="0.25">
      <c r="A258" s="188" t="s">
        <v>2362</v>
      </c>
    </row>
    <row r="259" spans="1:1" ht="18" x14ac:dyDescent="0.25">
      <c r="A259" s="188" t="s">
        <v>2363</v>
      </c>
    </row>
    <row r="260" spans="1:1" ht="19.5" x14ac:dyDescent="0.25">
      <c r="A260" s="189" t="s">
        <v>2364</v>
      </c>
    </row>
    <row r="261" spans="1:1" ht="18" x14ac:dyDescent="0.25">
      <c r="A261" s="188" t="s">
        <v>2365</v>
      </c>
    </row>
    <row r="262" spans="1:1" ht="18" x14ac:dyDescent="0.25">
      <c r="A262" s="188" t="s">
        <v>2366</v>
      </c>
    </row>
    <row r="263" spans="1:1" ht="18" x14ac:dyDescent="0.25">
      <c r="A263" s="188" t="s">
        <v>2367</v>
      </c>
    </row>
    <row r="264" spans="1:1" ht="18" x14ac:dyDescent="0.25">
      <c r="A264" s="188" t="s">
        <v>2368</v>
      </c>
    </row>
    <row r="265" spans="1:1" ht="19.5" x14ac:dyDescent="0.25">
      <c r="A265" s="189" t="s">
        <v>2369</v>
      </c>
    </row>
    <row r="266" spans="1:1" ht="18" x14ac:dyDescent="0.25">
      <c r="A266" s="191" t="s">
        <v>2370</v>
      </c>
    </row>
    <row r="267" spans="1:1" ht="18" x14ac:dyDescent="0.25">
      <c r="A267" s="188" t="s">
        <v>2371</v>
      </c>
    </row>
    <row r="268" spans="1:1" ht="18" x14ac:dyDescent="0.25">
      <c r="A268" s="188" t="s">
        <v>2372</v>
      </c>
    </row>
    <row r="269" spans="1:1" ht="18" x14ac:dyDescent="0.25">
      <c r="A269" s="188" t="s">
        <v>2373</v>
      </c>
    </row>
    <row r="270" spans="1:1" ht="18" x14ac:dyDescent="0.25">
      <c r="A270" s="190" t="s">
        <v>2374</v>
      </c>
    </row>
    <row r="271" spans="1:1" ht="18" x14ac:dyDescent="0.25">
      <c r="A271" s="186" t="s">
        <v>2375</v>
      </c>
    </row>
    <row r="272" spans="1:1" ht="18" x14ac:dyDescent="0.25">
      <c r="A272" s="190" t="s">
        <v>2376</v>
      </c>
    </row>
    <row r="273" spans="1:7" ht="18" x14ac:dyDescent="0.25">
      <c r="A273" s="186" t="s">
        <v>2377</v>
      </c>
    </row>
    <row r="274" spans="1:7" ht="18" x14ac:dyDescent="0.25">
      <c r="A274" s="190" t="s">
        <v>2378</v>
      </c>
    </row>
    <row r="275" spans="1:7" ht="18" x14ac:dyDescent="0.25">
      <c r="A275" s="186" t="s">
        <v>2379</v>
      </c>
    </row>
    <row r="276" spans="1:7" ht="18" x14ac:dyDescent="0.25">
      <c r="A276" s="186" t="s">
        <v>2380</v>
      </c>
    </row>
    <row r="277" spans="1:7" ht="18" x14ac:dyDescent="0.25">
      <c r="A277" s="186" t="s">
        <v>2381</v>
      </c>
    </row>
    <row r="279" spans="1:7" ht="18" x14ac:dyDescent="0.25">
      <c r="A279" s="190" t="s">
        <v>2031</v>
      </c>
    </row>
    <row r="280" spans="1:7" ht="36" customHeight="1" x14ac:dyDescent="0.25">
      <c r="A280" s="203" t="s">
        <v>2382</v>
      </c>
      <c r="B280" s="203"/>
      <c r="C280" s="203"/>
      <c r="D280" s="203"/>
    </row>
    <row r="281" spans="1:7" ht="42" customHeight="1" x14ac:dyDescent="0.25"/>
    <row r="282" spans="1:7" s="9" customFormat="1" ht="18.75" x14ac:dyDescent="0.3">
      <c r="A282" s="9" t="s">
        <v>2557</v>
      </c>
      <c r="G282" s="17"/>
    </row>
    <row r="284" spans="1:7" ht="17.25" x14ac:dyDescent="0.25">
      <c r="A284" s="52" t="s">
        <v>2558</v>
      </c>
    </row>
    <row r="285" spans="1:7" x14ac:dyDescent="0.25">
      <c r="A285" s="184" t="s">
        <v>2559</v>
      </c>
    </row>
    <row r="286" spans="1:7" x14ac:dyDescent="0.25">
      <c r="A286" s="184" t="s">
        <v>2560</v>
      </c>
    </row>
    <row r="287" spans="1:7" ht="17.25" x14ac:dyDescent="0.25">
      <c r="A287" s="52" t="s">
        <v>2561</v>
      </c>
    </row>
    <row r="288" spans="1:7" x14ac:dyDescent="0.25">
      <c r="A288" s="184" t="s">
        <v>2562</v>
      </c>
    </row>
    <row r="289" spans="1:1" x14ac:dyDescent="0.25">
      <c r="A289" s="184" t="s">
        <v>2563</v>
      </c>
    </row>
    <row r="290" spans="1:1" x14ac:dyDescent="0.25">
      <c r="A290" s="184" t="s">
        <v>2564</v>
      </c>
    </row>
    <row r="291" spans="1:1" x14ac:dyDescent="0.25">
      <c r="A291" s="184" t="s">
        <v>2565</v>
      </c>
    </row>
    <row r="292" spans="1:1" ht="17.25" x14ac:dyDescent="0.25">
      <c r="A292" s="52" t="s">
        <v>2566</v>
      </c>
    </row>
    <row r="293" spans="1:1" x14ac:dyDescent="0.25">
      <c r="A293" s="184" t="s">
        <v>2567</v>
      </c>
    </row>
    <row r="294" spans="1:1" x14ac:dyDescent="0.25">
      <c r="A294" s="184" t="s">
        <v>2568</v>
      </c>
    </row>
    <row r="295" spans="1:1" x14ac:dyDescent="0.25">
      <c r="A295" s="184" t="s">
        <v>2569</v>
      </c>
    </row>
    <row r="296" spans="1:1" ht="17.25" x14ac:dyDescent="0.25">
      <c r="A296" s="52" t="s">
        <v>2570</v>
      </c>
    </row>
    <row r="297" spans="1:1" x14ac:dyDescent="0.25">
      <c r="A297" s="184" t="s">
        <v>2571</v>
      </c>
    </row>
    <row r="298" spans="1:1" x14ac:dyDescent="0.25">
      <c r="A298" s="184" t="s">
        <v>2572</v>
      </c>
    </row>
    <row r="299" spans="1:1" x14ac:dyDescent="0.25">
      <c r="A299" s="185"/>
    </row>
    <row r="300" spans="1:1" x14ac:dyDescent="0.25">
      <c r="A300" s="184" t="s">
        <v>2573</v>
      </c>
    </row>
    <row r="301" spans="1:1" x14ac:dyDescent="0.25">
      <c r="A301" s="184" t="s">
        <v>2574</v>
      </c>
    </row>
    <row r="302" spans="1:1" x14ac:dyDescent="0.25">
      <c r="A302" s="184" t="s">
        <v>2575</v>
      </c>
    </row>
    <row r="303" spans="1:1" x14ac:dyDescent="0.25">
      <c r="A303" s="184" t="s">
        <v>2576</v>
      </c>
    </row>
    <row r="304" spans="1:1" x14ac:dyDescent="0.25">
      <c r="A304" s="184" t="s">
        <v>2577</v>
      </c>
    </row>
    <row r="305" spans="1:1" x14ac:dyDescent="0.25">
      <c r="A305" s="185"/>
    </row>
    <row r="306" spans="1:1" x14ac:dyDescent="0.25">
      <c r="A306" s="184" t="s">
        <v>2578</v>
      </c>
    </row>
    <row r="307" spans="1:1" x14ac:dyDescent="0.25">
      <c r="A307" s="184" t="s">
        <v>2579</v>
      </c>
    </row>
    <row r="308" spans="1:1" ht="17.25" x14ac:dyDescent="0.25">
      <c r="A308" s="52" t="s">
        <v>2580</v>
      </c>
    </row>
    <row r="309" spans="1:1" x14ac:dyDescent="0.25">
      <c r="A309" s="184" t="s">
        <v>2581</v>
      </c>
    </row>
    <row r="310" spans="1:1" x14ac:dyDescent="0.25">
      <c r="A310" s="184" t="s">
        <v>2582</v>
      </c>
    </row>
    <row r="311" spans="1:1" ht="17.25" x14ac:dyDescent="0.25">
      <c r="A311" s="52" t="s">
        <v>2583</v>
      </c>
    </row>
    <row r="312" spans="1:1" x14ac:dyDescent="0.25">
      <c r="A312" s="184" t="s">
        <v>2584</v>
      </c>
    </row>
    <row r="313" spans="1:1" x14ac:dyDescent="0.25">
      <c r="A313" s="184" t="s">
        <v>2585</v>
      </c>
    </row>
    <row r="314" spans="1:1" ht="17.25" x14ac:dyDescent="0.25">
      <c r="A314" s="52" t="s">
        <v>2586</v>
      </c>
    </row>
    <row r="315" spans="1:1" x14ac:dyDescent="0.25">
      <c r="A315" s="184" t="s">
        <v>2587</v>
      </c>
    </row>
    <row r="316" spans="1:1" x14ac:dyDescent="0.25">
      <c r="A316" s="184" t="s">
        <v>2588</v>
      </c>
    </row>
    <row r="317" spans="1:1" x14ac:dyDescent="0.25">
      <c r="A317" s="184" t="s">
        <v>2589</v>
      </c>
    </row>
    <row r="318" spans="1:1" x14ac:dyDescent="0.25">
      <c r="A318" s="184" t="s">
        <v>2590</v>
      </c>
    </row>
    <row r="319" spans="1:1" x14ac:dyDescent="0.25">
      <c r="A319" s="184" t="s">
        <v>2591</v>
      </c>
    </row>
    <row r="320" spans="1:1" x14ac:dyDescent="0.25">
      <c r="A320" s="184" t="s">
        <v>2592</v>
      </c>
    </row>
    <row r="321" spans="1:1" ht="17.25" x14ac:dyDescent="0.25">
      <c r="A321" s="52" t="s">
        <v>2593</v>
      </c>
    </row>
    <row r="322" spans="1:1" x14ac:dyDescent="0.25">
      <c r="A322" s="184" t="s">
        <v>2594</v>
      </c>
    </row>
    <row r="323" spans="1:1" x14ac:dyDescent="0.25">
      <c r="A323" s="184" t="s">
        <v>2595</v>
      </c>
    </row>
    <row r="324" spans="1:1" x14ac:dyDescent="0.25">
      <c r="A324" s="184" t="s">
        <v>2596</v>
      </c>
    </row>
    <row r="325" spans="1:1" x14ac:dyDescent="0.25">
      <c r="A325" s="184" t="s">
        <v>2597</v>
      </c>
    </row>
    <row r="326" spans="1:1" ht="17.25" x14ac:dyDescent="0.25">
      <c r="A326" s="52" t="s">
        <v>2598</v>
      </c>
    </row>
    <row r="327" spans="1:1" x14ac:dyDescent="0.25">
      <c r="A327" s="184" t="s">
        <v>2599</v>
      </c>
    </row>
    <row r="328" spans="1:1" x14ac:dyDescent="0.25">
      <c r="A328" s="184" t="s">
        <v>2600</v>
      </c>
    </row>
    <row r="329" spans="1:1" x14ac:dyDescent="0.25">
      <c r="A329" s="184" t="s">
        <v>2601</v>
      </c>
    </row>
    <row r="330" spans="1:1" x14ac:dyDescent="0.25">
      <c r="A330" s="184" t="s">
        <v>2602</v>
      </c>
    </row>
  </sheetData>
  <mergeCells count="7">
    <mergeCell ref="A280:D280"/>
    <mergeCell ref="E32:F36"/>
    <mergeCell ref="A86:F86"/>
    <mergeCell ref="A95:F95"/>
    <mergeCell ref="A115:D116"/>
    <mergeCell ref="E105:G106"/>
    <mergeCell ref="A239:C239"/>
  </mergeCells>
  <pageMargins left="0.7" right="0.7" top="0.75" bottom="0.75" header="0.3" footer="0.3"/>
  <pageSetup paperSize="9" scale="4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E30E-3B3C-422E-8223-D921C8005CA9}">
  <sheetPr>
    <pageSetUpPr fitToPage="1"/>
  </sheetPr>
  <dimension ref="A1:Q22"/>
  <sheetViews>
    <sheetView zoomScale="56" workbookViewId="0">
      <selection activeCell="Y2" sqref="Y2"/>
    </sheetView>
  </sheetViews>
  <sheetFormatPr defaultRowHeight="15" x14ac:dyDescent="0.25"/>
  <cols>
    <col min="1" max="12" width="9.140625" style="109"/>
    <col min="13" max="13" width="12.140625" style="109" customWidth="1"/>
    <col min="14" max="16384" width="9.140625" style="109"/>
  </cols>
  <sheetData>
    <row r="1" spans="1:17" s="129" customFormat="1" ht="30.75" customHeight="1" x14ac:dyDescent="0.5">
      <c r="A1" s="162" t="s">
        <v>1993</v>
      </c>
      <c r="G1" s="130"/>
    </row>
    <row r="2" spans="1:17" ht="409.5" customHeight="1" x14ac:dyDescent="0.25">
      <c r="A2" s="210" t="s">
        <v>1933</v>
      </c>
      <c r="B2" s="210"/>
      <c r="C2" s="210"/>
      <c r="D2" s="210"/>
      <c r="E2" s="210"/>
      <c r="F2" s="210"/>
      <c r="G2" s="210"/>
      <c r="H2" s="210"/>
      <c r="I2" s="210"/>
      <c r="J2" s="210"/>
      <c r="K2" s="210"/>
      <c r="L2" s="210"/>
      <c r="M2" s="210"/>
      <c r="N2" s="210"/>
      <c r="O2" s="210"/>
      <c r="P2" s="210"/>
      <c r="Q2" s="210"/>
    </row>
    <row r="3" spans="1:17" x14ac:dyDescent="0.25">
      <c r="A3" s="210"/>
      <c r="B3" s="210"/>
      <c r="C3" s="210"/>
      <c r="D3" s="210"/>
      <c r="E3" s="210"/>
      <c r="F3" s="210"/>
      <c r="G3" s="210"/>
      <c r="H3" s="210"/>
      <c r="I3" s="210"/>
      <c r="J3" s="210"/>
      <c r="K3" s="210"/>
      <c r="L3" s="210"/>
      <c r="M3" s="210"/>
      <c r="N3" s="210"/>
      <c r="O3" s="210"/>
      <c r="P3" s="210"/>
      <c r="Q3" s="210"/>
    </row>
    <row r="4" spans="1:17" x14ac:dyDescent="0.25">
      <c r="A4" s="210"/>
      <c r="B4" s="210"/>
      <c r="C4" s="210"/>
      <c r="D4" s="210"/>
      <c r="E4" s="210"/>
      <c r="F4" s="210"/>
      <c r="G4" s="210"/>
      <c r="H4" s="210"/>
      <c r="I4" s="210"/>
      <c r="J4" s="210"/>
      <c r="K4" s="210"/>
      <c r="L4" s="210"/>
      <c r="M4" s="210"/>
      <c r="N4" s="210"/>
      <c r="O4" s="210"/>
      <c r="P4" s="210"/>
      <c r="Q4" s="210"/>
    </row>
    <row r="5" spans="1:17" x14ac:dyDescent="0.25">
      <c r="A5" s="210"/>
      <c r="B5" s="210"/>
      <c r="C5" s="210"/>
      <c r="D5" s="210"/>
      <c r="E5" s="210"/>
      <c r="F5" s="210"/>
      <c r="G5" s="210"/>
      <c r="H5" s="210"/>
      <c r="I5" s="210"/>
      <c r="J5" s="210"/>
      <c r="K5" s="210"/>
      <c r="L5" s="210"/>
      <c r="M5" s="210"/>
      <c r="N5" s="210"/>
      <c r="O5" s="210"/>
      <c r="P5" s="210"/>
      <c r="Q5" s="210"/>
    </row>
    <row r="6" spans="1:17" x14ac:dyDescent="0.25">
      <c r="A6" s="210"/>
      <c r="B6" s="210"/>
      <c r="C6" s="210"/>
      <c r="D6" s="210"/>
      <c r="E6" s="210"/>
      <c r="F6" s="210"/>
      <c r="G6" s="210"/>
      <c r="H6" s="210"/>
      <c r="I6" s="210"/>
      <c r="J6" s="210"/>
      <c r="K6" s="210"/>
      <c r="L6" s="210"/>
      <c r="M6" s="210"/>
      <c r="N6" s="210"/>
      <c r="O6" s="210"/>
      <c r="P6" s="210"/>
      <c r="Q6" s="210"/>
    </row>
    <row r="7" spans="1:17" x14ac:dyDescent="0.25">
      <c r="A7" s="210"/>
      <c r="B7" s="210"/>
      <c r="C7" s="210"/>
      <c r="D7" s="210"/>
      <c r="E7" s="210"/>
      <c r="F7" s="210"/>
      <c r="G7" s="210"/>
      <c r="H7" s="210"/>
      <c r="I7" s="210"/>
      <c r="J7" s="210"/>
      <c r="K7" s="210"/>
      <c r="L7" s="210"/>
      <c r="M7" s="210"/>
      <c r="N7" s="210"/>
      <c r="O7" s="210"/>
      <c r="P7" s="210"/>
      <c r="Q7" s="210"/>
    </row>
    <row r="8" spans="1:17" x14ac:dyDescent="0.25">
      <c r="A8" s="210"/>
      <c r="B8" s="210"/>
      <c r="C8" s="210"/>
      <c r="D8" s="210"/>
      <c r="E8" s="210"/>
      <c r="F8" s="210"/>
      <c r="G8" s="210"/>
      <c r="H8" s="210"/>
      <c r="I8" s="210"/>
      <c r="J8" s="210"/>
      <c r="K8" s="210"/>
      <c r="L8" s="210"/>
      <c r="M8" s="210"/>
      <c r="N8" s="210"/>
      <c r="O8" s="210"/>
      <c r="P8" s="210"/>
      <c r="Q8" s="210"/>
    </row>
    <row r="9" spans="1:17" x14ac:dyDescent="0.25">
      <c r="A9" s="210"/>
      <c r="B9" s="210"/>
      <c r="C9" s="210"/>
      <c r="D9" s="210"/>
      <c r="E9" s="210"/>
      <c r="F9" s="210"/>
      <c r="G9" s="210"/>
      <c r="H9" s="210"/>
      <c r="I9" s="210"/>
      <c r="J9" s="210"/>
      <c r="K9" s="210"/>
      <c r="L9" s="210"/>
      <c r="M9" s="210"/>
      <c r="N9" s="210"/>
      <c r="O9" s="210"/>
      <c r="P9" s="210"/>
      <c r="Q9" s="210"/>
    </row>
    <row r="10" spans="1:17" x14ac:dyDescent="0.25">
      <c r="A10" s="210"/>
      <c r="B10" s="210"/>
      <c r="C10" s="210"/>
      <c r="D10" s="210"/>
      <c r="E10" s="210"/>
      <c r="F10" s="210"/>
      <c r="G10" s="210"/>
      <c r="H10" s="210"/>
      <c r="I10" s="210"/>
      <c r="J10" s="210"/>
      <c r="K10" s="210"/>
      <c r="L10" s="210"/>
      <c r="M10" s="210"/>
      <c r="N10" s="210"/>
      <c r="O10" s="210"/>
      <c r="P10" s="210"/>
      <c r="Q10" s="210"/>
    </row>
    <row r="11" spans="1:17" x14ac:dyDescent="0.25">
      <c r="A11" s="210"/>
      <c r="B11" s="210"/>
      <c r="C11" s="210"/>
      <c r="D11" s="210"/>
      <c r="E11" s="210"/>
      <c r="F11" s="210"/>
      <c r="G11" s="210"/>
      <c r="H11" s="210"/>
      <c r="I11" s="210"/>
      <c r="J11" s="210"/>
      <c r="K11" s="210"/>
      <c r="L11" s="210"/>
      <c r="M11" s="210"/>
      <c r="N11" s="210"/>
      <c r="O11" s="210"/>
      <c r="P11" s="210"/>
      <c r="Q11" s="210"/>
    </row>
    <row r="12" spans="1:17" x14ac:dyDescent="0.25">
      <c r="A12" s="210"/>
      <c r="B12" s="210"/>
      <c r="C12" s="210"/>
      <c r="D12" s="210"/>
      <c r="E12" s="210"/>
      <c r="F12" s="210"/>
      <c r="G12" s="210"/>
      <c r="H12" s="210"/>
      <c r="I12" s="210"/>
      <c r="J12" s="210"/>
      <c r="K12" s="210"/>
      <c r="L12" s="210"/>
      <c r="M12" s="210"/>
      <c r="N12" s="210"/>
      <c r="O12" s="210"/>
      <c r="P12" s="210"/>
      <c r="Q12" s="210"/>
    </row>
    <row r="14" spans="1:17" s="168" customFormat="1" x14ac:dyDescent="0.25">
      <c r="A14" s="168" t="s">
        <v>933</v>
      </c>
      <c r="J14" s="168" t="s">
        <v>2001</v>
      </c>
    </row>
    <row r="16" spans="1:17" ht="15.75" x14ac:dyDescent="0.25">
      <c r="A16" s="131" t="s">
        <v>934</v>
      </c>
      <c r="J16" s="167" t="s">
        <v>2005</v>
      </c>
      <c r="N16" s="109" t="s">
        <v>2004</v>
      </c>
    </row>
    <row r="17" spans="1:14" ht="15.75" x14ac:dyDescent="0.25">
      <c r="A17" s="131" t="s">
        <v>935</v>
      </c>
      <c r="J17" s="167" t="s">
        <v>2006</v>
      </c>
      <c r="N17" s="109" t="s">
        <v>2007</v>
      </c>
    </row>
    <row r="18" spans="1:14" ht="15.75" x14ac:dyDescent="0.25">
      <c r="A18" s="131" t="s">
        <v>936</v>
      </c>
    </row>
    <row r="19" spans="1:14" ht="15.75" x14ac:dyDescent="0.25">
      <c r="A19" s="131" t="s">
        <v>937</v>
      </c>
    </row>
    <row r="20" spans="1:14" ht="15.75" x14ac:dyDescent="0.25">
      <c r="A20" s="131" t="s">
        <v>938</v>
      </c>
    </row>
    <row r="21" spans="1:14" ht="15.75" x14ac:dyDescent="0.25">
      <c r="A21" s="131" t="s">
        <v>939</v>
      </c>
    </row>
    <row r="22" spans="1:14" ht="15.75" x14ac:dyDescent="0.25">
      <c r="A22" s="131" t="s">
        <v>940</v>
      </c>
    </row>
  </sheetData>
  <mergeCells count="1">
    <mergeCell ref="A2:Q12"/>
  </mergeCells>
  <pageMargins left="0.7" right="0.7" top="0.75" bottom="0.75" header="0.3" footer="0.3"/>
  <pageSetup paperSize="9" scale="5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12B8-F99B-4C19-85E7-C58165F4C7B0}">
  <sheetPr>
    <pageSetUpPr fitToPage="1"/>
  </sheetPr>
  <dimension ref="A1:K55"/>
  <sheetViews>
    <sheetView zoomScale="56" workbookViewId="0">
      <selection activeCell="G50" sqref="G50:K51"/>
    </sheetView>
  </sheetViews>
  <sheetFormatPr defaultRowHeight="15" x14ac:dyDescent="0.25"/>
  <cols>
    <col min="5" max="5" width="51.7109375" customWidth="1"/>
    <col min="6" max="6" width="3.28515625" customWidth="1"/>
    <col min="10" max="10" width="43.5703125" customWidth="1"/>
    <col min="11" max="11" width="73.140625" customWidth="1"/>
    <col min="12" max="12" width="3.28515625" customWidth="1"/>
  </cols>
  <sheetData>
    <row r="1" spans="1:11" x14ac:dyDescent="0.25">
      <c r="A1" s="214" t="s">
        <v>737</v>
      </c>
      <c r="B1" s="215"/>
      <c r="C1" s="215"/>
      <c r="D1" s="215"/>
      <c r="E1" s="216"/>
      <c r="G1" s="214" t="s">
        <v>922</v>
      </c>
      <c r="H1" s="215"/>
      <c r="I1" s="215"/>
      <c r="J1" s="215"/>
      <c r="K1" s="216"/>
    </row>
    <row r="2" spans="1:11" x14ac:dyDescent="0.25">
      <c r="A2" s="97" t="s">
        <v>725</v>
      </c>
      <c r="B2" t="s">
        <v>911</v>
      </c>
      <c r="E2" s="98"/>
      <c r="G2" s="97" t="s">
        <v>725</v>
      </c>
      <c r="H2" t="s">
        <v>909</v>
      </c>
      <c r="K2" s="98"/>
    </row>
    <row r="3" spans="1:11" x14ac:dyDescent="0.25">
      <c r="A3" s="97" t="s">
        <v>726</v>
      </c>
      <c r="B3" t="s">
        <v>912</v>
      </c>
      <c r="E3" s="98"/>
      <c r="G3" s="97" t="s">
        <v>726</v>
      </c>
      <c r="H3" t="s">
        <v>738</v>
      </c>
      <c r="K3" s="98"/>
    </row>
    <row r="4" spans="1:11" ht="33" customHeight="1" x14ac:dyDescent="0.25">
      <c r="A4" s="97" t="s">
        <v>913</v>
      </c>
      <c r="B4" s="219" t="s">
        <v>917</v>
      </c>
      <c r="C4" s="219"/>
      <c r="D4" s="219"/>
      <c r="E4" s="220"/>
      <c r="G4" s="97" t="s">
        <v>728</v>
      </c>
      <c r="H4" t="s">
        <v>2121</v>
      </c>
      <c r="K4" s="98"/>
    </row>
    <row r="5" spans="1:11" ht="21" customHeight="1" x14ac:dyDescent="0.25">
      <c r="A5" s="97" t="s">
        <v>914</v>
      </c>
      <c r="B5" t="s">
        <v>918</v>
      </c>
      <c r="E5" s="98"/>
      <c r="G5" s="97" t="s">
        <v>730</v>
      </c>
      <c r="H5" s="221" t="s">
        <v>739</v>
      </c>
      <c r="I5" s="221"/>
      <c r="J5" s="221"/>
      <c r="K5" s="222"/>
    </row>
    <row r="6" spans="1:11" x14ac:dyDescent="0.25">
      <c r="A6" s="97" t="s">
        <v>915</v>
      </c>
      <c r="B6" t="s">
        <v>920</v>
      </c>
      <c r="E6" s="98"/>
      <c r="G6" s="97" t="s">
        <v>731</v>
      </c>
      <c r="H6" t="s">
        <v>740</v>
      </c>
      <c r="K6" s="98"/>
    </row>
    <row r="7" spans="1:11" x14ac:dyDescent="0.25">
      <c r="A7" s="97" t="s">
        <v>916</v>
      </c>
      <c r="B7" t="s">
        <v>919</v>
      </c>
      <c r="E7" s="98"/>
      <c r="G7" s="97" t="s">
        <v>732</v>
      </c>
      <c r="H7" t="s">
        <v>727</v>
      </c>
      <c r="K7" s="98"/>
    </row>
    <row r="8" spans="1:11" ht="30" customHeight="1" x14ac:dyDescent="0.25">
      <c r="A8" s="97" t="s">
        <v>730</v>
      </c>
      <c r="B8" t="s">
        <v>921</v>
      </c>
      <c r="E8" s="98"/>
      <c r="G8" s="97" t="s">
        <v>733</v>
      </c>
      <c r="H8" t="s">
        <v>729</v>
      </c>
      <c r="K8" s="98"/>
    </row>
    <row r="9" spans="1:11" x14ac:dyDescent="0.25">
      <c r="A9" s="97"/>
      <c r="E9" s="98"/>
      <c r="G9" s="97" t="s">
        <v>734</v>
      </c>
      <c r="H9" s="219" t="s">
        <v>746</v>
      </c>
      <c r="I9" s="219"/>
      <c r="J9" s="219"/>
      <c r="K9" s="220"/>
    </row>
    <row r="10" spans="1:11" ht="34.5" customHeight="1" x14ac:dyDescent="0.25">
      <c r="A10" s="97"/>
      <c r="E10" s="98"/>
      <c r="G10" s="97" t="s">
        <v>735</v>
      </c>
      <c r="H10" t="s">
        <v>745</v>
      </c>
      <c r="K10" s="98"/>
    </row>
    <row r="11" spans="1:11" ht="32.25" customHeight="1" x14ac:dyDescent="0.25">
      <c r="A11" s="97"/>
      <c r="E11" s="98"/>
      <c r="G11" s="97" t="s">
        <v>736</v>
      </c>
      <c r="H11" s="217" t="s">
        <v>747</v>
      </c>
      <c r="I11" s="217"/>
      <c r="J11" s="217"/>
      <c r="K11" s="218"/>
    </row>
    <row r="12" spans="1:11" x14ac:dyDescent="0.25">
      <c r="A12" s="97"/>
      <c r="E12" s="98"/>
      <c r="G12" s="97" t="s">
        <v>741</v>
      </c>
      <c r="H12" s="217" t="s">
        <v>751</v>
      </c>
      <c r="I12" s="217"/>
      <c r="J12" s="217"/>
      <c r="K12" s="218"/>
    </row>
    <row r="13" spans="1:11" x14ac:dyDescent="0.25">
      <c r="A13" s="97"/>
      <c r="E13" s="98"/>
      <c r="G13" s="97" t="s">
        <v>742</v>
      </c>
      <c r="H13" t="s">
        <v>748</v>
      </c>
      <c r="K13" s="98"/>
    </row>
    <row r="14" spans="1:11" x14ac:dyDescent="0.25">
      <c r="A14" s="97"/>
      <c r="E14" s="98"/>
      <c r="G14" s="97" t="s">
        <v>743</v>
      </c>
      <c r="H14" t="s">
        <v>908</v>
      </c>
      <c r="K14" s="98"/>
    </row>
    <row r="15" spans="1:11" x14ac:dyDescent="0.25">
      <c r="A15" s="97"/>
      <c r="E15" s="98"/>
      <c r="G15" s="97" t="s">
        <v>744</v>
      </c>
      <c r="H15" t="s">
        <v>910</v>
      </c>
      <c r="K15" s="98"/>
    </row>
    <row r="16" spans="1:11" x14ac:dyDescent="0.25">
      <c r="A16" s="97"/>
      <c r="E16" s="98"/>
      <c r="G16" s="97" t="s">
        <v>750</v>
      </c>
      <c r="H16" t="s">
        <v>749</v>
      </c>
      <c r="K16" s="98"/>
    </row>
    <row r="17" spans="1:11" x14ac:dyDescent="0.25">
      <c r="A17" s="97"/>
      <c r="E17" s="98"/>
      <c r="G17" s="97" t="s">
        <v>757</v>
      </c>
      <c r="H17" t="s">
        <v>754</v>
      </c>
      <c r="K17" s="98"/>
    </row>
    <row r="18" spans="1:11" x14ac:dyDescent="0.25">
      <c r="A18" s="97"/>
      <c r="E18" s="98"/>
      <c r="G18" s="97" t="s">
        <v>758</v>
      </c>
      <c r="H18" t="s">
        <v>755</v>
      </c>
      <c r="K18" s="98"/>
    </row>
    <row r="19" spans="1:11" x14ac:dyDescent="0.25">
      <c r="A19" s="97"/>
      <c r="E19" s="98"/>
      <c r="G19" s="97" t="s">
        <v>906</v>
      </c>
      <c r="H19" t="s">
        <v>753</v>
      </c>
      <c r="K19" s="98"/>
    </row>
    <row r="20" spans="1:11" x14ac:dyDescent="0.25">
      <c r="A20" s="97"/>
      <c r="E20" s="98"/>
      <c r="G20" s="97" t="s">
        <v>930</v>
      </c>
      <c r="H20" t="s">
        <v>756</v>
      </c>
      <c r="K20" s="98"/>
    </row>
    <row r="21" spans="1:11" x14ac:dyDescent="0.25">
      <c r="A21" s="97"/>
      <c r="E21" s="98"/>
      <c r="G21" s="97" t="s">
        <v>907</v>
      </c>
      <c r="H21" t="s">
        <v>932</v>
      </c>
      <c r="K21" s="98"/>
    </row>
    <row r="22" spans="1:11" x14ac:dyDescent="0.25">
      <c r="A22" s="223" t="s">
        <v>2603</v>
      </c>
      <c r="B22" s="224"/>
      <c r="C22" s="224"/>
      <c r="D22" s="224"/>
      <c r="E22" s="225"/>
      <c r="G22" s="97" t="s">
        <v>2119</v>
      </c>
      <c r="H22" t="s">
        <v>2120</v>
      </c>
      <c r="K22" s="98"/>
    </row>
    <row r="23" spans="1:11" x14ac:dyDescent="0.25">
      <c r="A23" s="223"/>
      <c r="B23" s="224"/>
      <c r="C23" s="224"/>
      <c r="D23" s="224"/>
      <c r="E23" s="225"/>
      <c r="G23" s="97" t="s">
        <v>2122</v>
      </c>
      <c r="H23" t="s">
        <v>2383</v>
      </c>
      <c r="K23" s="98"/>
    </row>
    <row r="24" spans="1:11" x14ac:dyDescent="0.25">
      <c r="A24" s="97"/>
      <c r="E24" s="98"/>
      <c r="G24" s="97"/>
      <c r="K24" s="98"/>
    </row>
    <row r="25" spans="1:11" x14ac:dyDescent="0.25">
      <c r="A25" s="97"/>
      <c r="E25" s="98"/>
      <c r="G25" s="223" t="s">
        <v>2603</v>
      </c>
      <c r="H25" s="224"/>
      <c r="I25" s="224"/>
      <c r="J25" s="224"/>
      <c r="K25" s="225"/>
    </row>
    <row r="26" spans="1:11" x14ac:dyDescent="0.25">
      <c r="A26" s="99"/>
      <c r="B26" s="104"/>
      <c r="C26" s="104"/>
      <c r="D26" s="104"/>
      <c r="E26" s="100"/>
      <c r="G26" s="226"/>
      <c r="H26" s="227"/>
      <c r="I26" s="227"/>
      <c r="J26" s="227"/>
      <c r="K26" s="228"/>
    </row>
    <row r="30" spans="1:11" x14ac:dyDescent="0.25">
      <c r="A30" s="212"/>
      <c r="B30" s="212"/>
      <c r="C30" s="212"/>
      <c r="D30" s="212"/>
      <c r="E30" s="212"/>
      <c r="G30" s="214" t="s">
        <v>923</v>
      </c>
      <c r="H30" s="215"/>
      <c r="I30" s="215"/>
      <c r="J30" s="215"/>
      <c r="K30" s="216"/>
    </row>
    <row r="31" spans="1:11" x14ac:dyDescent="0.25">
      <c r="G31" s="97" t="s">
        <v>725</v>
      </c>
      <c r="H31" t="s">
        <v>909</v>
      </c>
      <c r="K31" s="98"/>
    </row>
    <row r="32" spans="1:11" x14ac:dyDescent="0.25">
      <c r="G32" s="97" t="s">
        <v>726</v>
      </c>
      <c r="H32" t="s">
        <v>2121</v>
      </c>
      <c r="K32" s="98"/>
    </row>
    <row r="33" spans="2:11" x14ac:dyDescent="0.25">
      <c r="G33" s="97" t="s">
        <v>728</v>
      </c>
      <c r="H33" t="s">
        <v>924</v>
      </c>
      <c r="K33" s="98"/>
    </row>
    <row r="34" spans="2:11" x14ac:dyDescent="0.25">
      <c r="G34" s="97" t="s">
        <v>730</v>
      </c>
      <c r="H34" t="s">
        <v>925</v>
      </c>
      <c r="K34" s="98"/>
    </row>
    <row r="35" spans="2:11" x14ac:dyDescent="0.25">
      <c r="G35" s="97" t="s">
        <v>731</v>
      </c>
      <c r="H35" t="s">
        <v>746</v>
      </c>
      <c r="K35" s="98"/>
    </row>
    <row r="36" spans="2:11" x14ac:dyDescent="0.25">
      <c r="C36" s="111"/>
      <c r="D36" s="111"/>
      <c r="E36" s="111"/>
      <c r="G36" s="97" t="s">
        <v>732</v>
      </c>
      <c r="H36" t="s">
        <v>745</v>
      </c>
      <c r="I36" s="111"/>
      <c r="J36" s="111"/>
      <c r="K36" s="112"/>
    </row>
    <row r="37" spans="2:11" x14ac:dyDescent="0.25">
      <c r="B37" s="111"/>
      <c r="C37" s="113"/>
      <c r="D37" s="113"/>
      <c r="E37" s="113"/>
      <c r="G37" s="97" t="s">
        <v>733</v>
      </c>
      <c r="H37" s="111" t="s">
        <v>747</v>
      </c>
      <c r="I37" s="113"/>
      <c r="J37" s="113"/>
      <c r="K37" s="114"/>
    </row>
    <row r="38" spans="2:11" x14ac:dyDescent="0.25">
      <c r="B38" s="113"/>
      <c r="G38" s="97" t="s">
        <v>734</v>
      </c>
      <c r="H38" s="113" t="s">
        <v>926</v>
      </c>
      <c r="K38" s="98"/>
    </row>
    <row r="39" spans="2:11" x14ac:dyDescent="0.25">
      <c r="G39" s="97" t="s">
        <v>735</v>
      </c>
      <c r="H39" t="s">
        <v>927</v>
      </c>
      <c r="K39" s="98"/>
    </row>
    <row r="40" spans="2:11" x14ac:dyDescent="0.25">
      <c r="G40" s="97" t="s">
        <v>736</v>
      </c>
      <c r="H40" t="s">
        <v>928</v>
      </c>
      <c r="K40" s="98"/>
    </row>
    <row r="41" spans="2:11" x14ac:dyDescent="0.25">
      <c r="G41" s="97" t="s">
        <v>741</v>
      </c>
      <c r="H41" t="s">
        <v>756</v>
      </c>
      <c r="K41" s="98"/>
    </row>
    <row r="42" spans="2:11" x14ac:dyDescent="0.25">
      <c r="G42" s="97" t="s">
        <v>742</v>
      </c>
      <c r="H42" t="s">
        <v>931</v>
      </c>
      <c r="K42" s="98"/>
    </row>
    <row r="43" spans="2:11" x14ac:dyDescent="0.25">
      <c r="G43" s="97" t="s">
        <v>743</v>
      </c>
      <c r="H43" t="s">
        <v>941</v>
      </c>
      <c r="K43" s="98"/>
    </row>
    <row r="44" spans="2:11" x14ac:dyDescent="0.25">
      <c r="G44" s="97"/>
      <c r="K44" s="98"/>
    </row>
    <row r="45" spans="2:11" x14ac:dyDescent="0.25">
      <c r="G45" s="97"/>
      <c r="K45" s="98"/>
    </row>
    <row r="46" spans="2:11" x14ac:dyDescent="0.25">
      <c r="G46" s="97"/>
      <c r="K46" s="98"/>
    </row>
    <row r="47" spans="2:11" x14ac:dyDescent="0.25">
      <c r="G47" s="97"/>
      <c r="K47" s="98"/>
    </row>
    <row r="48" spans="2:11" x14ac:dyDescent="0.25">
      <c r="G48" s="97"/>
      <c r="K48" s="98"/>
    </row>
    <row r="49" spans="1:11" x14ac:dyDescent="0.25">
      <c r="G49" s="97"/>
      <c r="K49" s="98"/>
    </row>
    <row r="50" spans="1:11" x14ac:dyDescent="0.25">
      <c r="G50" s="211" t="s">
        <v>2604</v>
      </c>
      <c r="H50" s="212"/>
      <c r="I50" s="212"/>
      <c r="J50" s="212"/>
      <c r="K50" s="213"/>
    </row>
    <row r="51" spans="1:11" x14ac:dyDescent="0.25">
      <c r="G51" s="211"/>
      <c r="H51" s="212"/>
      <c r="I51" s="212"/>
      <c r="J51" s="212"/>
      <c r="K51" s="213"/>
    </row>
    <row r="52" spans="1:11" x14ac:dyDescent="0.25">
      <c r="G52" s="97"/>
      <c r="K52" s="98"/>
    </row>
    <row r="53" spans="1:11" x14ac:dyDescent="0.25">
      <c r="G53" s="97"/>
      <c r="K53" s="98"/>
    </row>
    <row r="54" spans="1:11" x14ac:dyDescent="0.25">
      <c r="A54" s="1"/>
      <c r="G54" s="110"/>
      <c r="K54" s="98"/>
    </row>
    <row r="55" spans="1:11" x14ac:dyDescent="0.25">
      <c r="G55" s="99"/>
      <c r="H55" s="104"/>
      <c r="I55" s="104"/>
      <c r="J55" s="104"/>
      <c r="K55" s="100"/>
    </row>
  </sheetData>
  <mergeCells count="12">
    <mergeCell ref="G50:K51"/>
    <mergeCell ref="G30:K30"/>
    <mergeCell ref="H12:K12"/>
    <mergeCell ref="B4:E4"/>
    <mergeCell ref="G1:K1"/>
    <mergeCell ref="A1:E1"/>
    <mergeCell ref="H11:K11"/>
    <mergeCell ref="H9:K9"/>
    <mergeCell ref="H5:K5"/>
    <mergeCell ref="A30:E30"/>
    <mergeCell ref="G25:K26"/>
    <mergeCell ref="A22:E23"/>
  </mergeCells>
  <pageMargins left="0.7" right="0.7" top="0.75" bottom="0.75" header="0.3" footer="0.3"/>
  <pageSetup paperSize="9" scale="5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A12E3-6242-4EFC-A304-B693A679CB7B}">
  <sheetPr>
    <pageSetUpPr fitToPage="1"/>
  </sheetPr>
  <dimension ref="A1:M139"/>
  <sheetViews>
    <sheetView topLeftCell="A107" zoomScale="53" workbookViewId="0">
      <selection sqref="A1:M139"/>
    </sheetView>
  </sheetViews>
  <sheetFormatPr defaultRowHeight="15" x14ac:dyDescent="0.25"/>
  <cols>
    <col min="1" max="16384" width="9.140625" style="183"/>
  </cols>
  <sheetData>
    <row r="1" spans="1:10" ht="18.75" x14ac:dyDescent="0.25">
      <c r="A1" s="182" t="s">
        <v>2174</v>
      </c>
    </row>
    <row r="2" spans="1:10" ht="58.5" customHeight="1" x14ac:dyDescent="0.25">
      <c r="A2" s="229" t="s">
        <v>2175</v>
      </c>
      <c r="B2" s="229"/>
      <c r="C2" s="229"/>
      <c r="D2" s="229"/>
      <c r="E2" s="229"/>
      <c r="F2" s="229"/>
      <c r="G2" s="229"/>
      <c r="H2" s="229"/>
      <c r="I2" s="229"/>
    </row>
    <row r="3" spans="1:10" ht="17.25" x14ac:dyDescent="0.25">
      <c r="A3" s="52" t="s">
        <v>2176</v>
      </c>
    </row>
    <row r="4" spans="1:10" x14ac:dyDescent="0.25">
      <c r="A4" s="184" t="s">
        <v>2177</v>
      </c>
    </row>
    <row r="5" spans="1:10" x14ac:dyDescent="0.25">
      <c r="A5" s="184" t="s">
        <v>2178</v>
      </c>
    </row>
    <row r="6" spans="1:10" x14ac:dyDescent="0.25">
      <c r="A6" s="184" t="s">
        <v>2179</v>
      </c>
    </row>
    <row r="7" spans="1:10" x14ac:dyDescent="0.25">
      <c r="A7" s="184" t="s">
        <v>2180</v>
      </c>
    </row>
    <row r="8" spans="1:10" x14ac:dyDescent="0.25">
      <c r="A8" s="184" t="s">
        <v>2181</v>
      </c>
    </row>
    <row r="9" spans="1:10" x14ac:dyDescent="0.25">
      <c r="A9" s="184" t="s">
        <v>2182</v>
      </c>
    </row>
    <row r="10" spans="1:10" x14ac:dyDescent="0.25">
      <c r="A10" s="184" t="s">
        <v>2183</v>
      </c>
    </row>
    <row r="11" spans="1:10" ht="17.25" x14ac:dyDescent="0.25">
      <c r="A11" s="52" t="s">
        <v>2184</v>
      </c>
    </row>
    <row r="12" spans="1:10" x14ac:dyDescent="0.25">
      <c r="A12" s="184" t="s">
        <v>2185</v>
      </c>
    </row>
    <row r="13" spans="1:10" ht="30.75" customHeight="1" x14ac:dyDescent="0.25">
      <c r="A13" s="229" t="s">
        <v>2186</v>
      </c>
      <c r="B13" s="229"/>
      <c r="C13" s="229"/>
      <c r="D13" s="229"/>
      <c r="E13" s="229"/>
      <c r="F13" s="229"/>
      <c r="G13" s="229"/>
      <c r="H13" s="229"/>
      <c r="I13" s="229"/>
      <c r="J13" s="229"/>
    </row>
    <row r="14" spans="1:10" x14ac:dyDescent="0.25">
      <c r="A14" s="184" t="s">
        <v>2187</v>
      </c>
    </row>
    <row r="15" spans="1:10" x14ac:dyDescent="0.25">
      <c r="A15" s="184" t="s">
        <v>2188</v>
      </c>
    </row>
    <row r="16" spans="1:10" x14ac:dyDescent="0.25">
      <c r="A16" s="184" t="s">
        <v>2189</v>
      </c>
    </row>
    <row r="17" spans="1:10" x14ac:dyDescent="0.25">
      <c r="A17" s="184" t="s">
        <v>2190</v>
      </c>
    </row>
    <row r="18" spans="1:10" x14ac:dyDescent="0.25">
      <c r="A18" s="184" t="s">
        <v>2191</v>
      </c>
    </row>
    <row r="19" spans="1:10" x14ac:dyDescent="0.25">
      <c r="A19" s="184" t="s">
        <v>2192</v>
      </c>
    </row>
    <row r="20" spans="1:10" x14ac:dyDescent="0.25">
      <c r="A20" s="184" t="s">
        <v>2193</v>
      </c>
    </row>
    <row r="21" spans="1:10" x14ac:dyDescent="0.25">
      <c r="A21" s="184" t="s">
        <v>2194</v>
      </c>
    </row>
    <row r="22" spans="1:10" ht="17.25" x14ac:dyDescent="0.25">
      <c r="A22" s="52" t="s">
        <v>2195</v>
      </c>
    </row>
    <row r="23" spans="1:10" x14ac:dyDescent="0.25">
      <c r="A23" s="184" t="s">
        <v>2196</v>
      </c>
    </row>
    <row r="24" spans="1:10" x14ac:dyDescent="0.25">
      <c r="A24" s="184" t="s">
        <v>2197</v>
      </c>
    </row>
    <row r="25" spans="1:10" x14ac:dyDescent="0.25">
      <c r="A25" s="184" t="s">
        <v>2198</v>
      </c>
    </row>
    <row r="26" spans="1:10" x14ac:dyDescent="0.25">
      <c r="A26" s="184" t="s">
        <v>2199</v>
      </c>
    </row>
    <row r="27" spans="1:10" x14ac:dyDescent="0.25">
      <c r="A27" s="184" t="s">
        <v>2200</v>
      </c>
    </row>
    <row r="28" spans="1:10" x14ac:dyDescent="0.25">
      <c r="A28" s="184" t="s">
        <v>2201</v>
      </c>
    </row>
    <row r="29" spans="1:10" ht="44.25" customHeight="1" x14ac:dyDescent="0.25">
      <c r="A29" s="229" t="s">
        <v>2202</v>
      </c>
      <c r="B29" s="229"/>
      <c r="C29" s="229"/>
      <c r="D29" s="229"/>
      <c r="E29" s="229"/>
      <c r="F29" s="229"/>
      <c r="G29" s="229"/>
      <c r="H29" s="229"/>
      <c r="I29" s="229"/>
      <c r="J29" s="229"/>
    </row>
    <row r="30" spans="1:10" x14ac:dyDescent="0.25">
      <c r="A30" s="184" t="s">
        <v>2203</v>
      </c>
    </row>
    <row r="31" spans="1:10" x14ac:dyDescent="0.25">
      <c r="A31" s="184" t="s">
        <v>2204</v>
      </c>
    </row>
    <row r="32" spans="1:10" x14ac:dyDescent="0.25">
      <c r="A32" s="184" t="s">
        <v>2205</v>
      </c>
    </row>
    <row r="33" spans="1:10" x14ac:dyDescent="0.25">
      <c r="A33" s="184" t="s">
        <v>2206</v>
      </c>
    </row>
    <row r="34" spans="1:10" x14ac:dyDescent="0.25">
      <c r="A34" s="184" t="s">
        <v>2207</v>
      </c>
    </row>
    <row r="35" spans="1:10" x14ac:dyDescent="0.25">
      <c r="A35" s="184" t="s">
        <v>2208</v>
      </c>
    </row>
    <row r="36" spans="1:10" x14ac:dyDescent="0.25">
      <c r="A36" s="184" t="s">
        <v>2209</v>
      </c>
    </row>
    <row r="37" spans="1:10" x14ac:dyDescent="0.25">
      <c r="A37" s="184" t="s">
        <v>2210</v>
      </c>
    </row>
    <row r="38" spans="1:10" x14ac:dyDescent="0.25">
      <c r="A38" s="184" t="s">
        <v>2211</v>
      </c>
    </row>
    <row r="39" spans="1:10" x14ac:dyDescent="0.25">
      <c r="A39" s="184" t="s">
        <v>2212</v>
      </c>
    </row>
    <row r="40" spans="1:10" x14ac:dyDescent="0.25">
      <c r="A40" s="184" t="s">
        <v>2213</v>
      </c>
    </row>
    <row r="41" spans="1:10" x14ac:dyDescent="0.25">
      <c r="A41" s="184" t="s">
        <v>2214</v>
      </c>
    </row>
    <row r="42" spans="1:10" x14ac:dyDescent="0.25">
      <c r="A42" s="184" t="s">
        <v>2215</v>
      </c>
    </row>
    <row r="43" spans="1:10" ht="51.75" customHeight="1" x14ac:dyDescent="0.25">
      <c r="A43" s="229" t="s">
        <v>2216</v>
      </c>
      <c r="B43" s="229"/>
      <c r="C43" s="229"/>
      <c r="D43" s="229"/>
      <c r="E43" s="229"/>
      <c r="F43" s="229"/>
      <c r="G43" s="229"/>
      <c r="H43" s="229"/>
      <c r="I43" s="229"/>
      <c r="J43" s="229"/>
    </row>
    <row r="44" spans="1:10" ht="17.25" x14ac:dyDescent="0.25">
      <c r="A44" s="52" t="s">
        <v>2217</v>
      </c>
    </row>
    <row r="45" spans="1:10" x14ac:dyDescent="0.25">
      <c r="A45" s="184" t="s">
        <v>2218</v>
      </c>
    </row>
    <row r="46" spans="1:10" x14ac:dyDescent="0.25">
      <c r="A46" s="184" t="s">
        <v>2219</v>
      </c>
    </row>
    <row r="47" spans="1:10" x14ac:dyDescent="0.25">
      <c r="A47" s="184" t="s">
        <v>2220</v>
      </c>
    </row>
    <row r="48" spans="1:10" x14ac:dyDescent="0.25">
      <c r="A48" s="184" t="s">
        <v>2221</v>
      </c>
    </row>
    <row r="49" spans="1:1" x14ac:dyDescent="0.25">
      <c r="A49" s="184" t="s">
        <v>2222</v>
      </c>
    </row>
    <row r="50" spans="1:1" x14ac:dyDescent="0.25">
      <c r="A50" s="184" t="s">
        <v>2223</v>
      </c>
    </row>
    <row r="51" spans="1:1" x14ac:dyDescent="0.25">
      <c r="A51" s="184" t="s">
        <v>2224</v>
      </c>
    </row>
    <row r="52" spans="1:1" x14ac:dyDescent="0.25">
      <c r="A52" s="184" t="s">
        <v>2225</v>
      </c>
    </row>
    <row r="53" spans="1:1" x14ac:dyDescent="0.25">
      <c r="A53" s="184" t="s">
        <v>2226</v>
      </c>
    </row>
    <row r="54" spans="1:1" x14ac:dyDescent="0.25">
      <c r="A54" s="184" t="s">
        <v>2227</v>
      </c>
    </row>
    <row r="55" spans="1:1" x14ac:dyDescent="0.25">
      <c r="A55" s="184" t="s">
        <v>2228</v>
      </c>
    </row>
    <row r="56" spans="1:1" ht="17.25" x14ac:dyDescent="0.25">
      <c r="A56" s="52" t="s">
        <v>2229</v>
      </c>
    </row>
    <row r="57" spans="1:1" x14ac:dyDescent="0.25">
      <c r="A57" s="184" t="s">
        <v>2230</v>
      </c>
    </row>
    <row r="58" spans="1:1" x14ac:dyDescent="0.25">
      <c r="A58" s="184" t="s">
        <v>2231</v>
      </c>
    </row>
    <row r="59" spans="1:1" x14ac:dyDescent="0.25">
      <c r="A59" s="184" t="s">
        <v>2232</v>
      </c>
    </row>
    <row r="60" spans="1:1" x14ac:dyDescent="0.25">
      <c r="A60" s="184" t="s">
        <v>2233</v>
      </c>
    </row>
    <row r="61" spans="1:1" x14ac:dyDescent="0.25">
      <c r="A61" s="184" t="s">
        <v>2234</v>
      </c>
    </row>
    <row r="62" spans="1:1" x14ac:dyDescent="0.25">
      <c r="A62" s="184" t="s">
        <v>2235</v>
      </c>
    </row>
    <row r="63" spans="1:1" x14ac:dyDescent="0.25">
      <c r="A63" s="184" t="s">
        <v>2236</v>
      </c>
    </row>
    <row r="64" spans="1:1" ht="17.25" x14ac:dyDescent="0.25">
      <c r="A64" s="52" t="s">
        <v>2237</v>
      </c>
    </row>
    <row r="65" spans="1:1" x14ac:dyDescent="0.25">
      <c r="A65" s="184" t="s">
        <v>2238</v>
      </c>
    </row>
    <row r="66" spans="1:1" x14ac:dyDescent="0.25">
      <c r="A66" s="184" t="s">
        <v>2239</v>
      </c>
    </row>
    <row r="67" spans="1:1" x14ac:dyDescent="0.25">
      <c r="A67" s="184" t="s">
        <v>2240</v>
      </c>
    </row>
    <row r="68" spans="1:1" x14ac:dyDescent="0.25">
      <c r="A68" s="184" t="s">
        <v>2241</v>
      </c>
    </row>
    <row r="69" spans="1:1" x14ac:dyDescent="0.25">
      <c r="A69" s="185"/>
    </row>
    <row r="70" spans="1:1" x14ac:dyDescent="0.25">
      <c r="A70" s="184" t="s">
        <v>2242</v>
      </c>
    </row>
    <row r="71" spans="1:1" x14ac:dyDescent="0.25">
      <c r="A71" s="184" t="s">
        <v>2243</v>
      </c>
    </row>
    <row r="72" spans="1:1" x14ac:dyDescent="0.25">
      <c r="A72" s="184" t="s">
        <v>2244</v>
      </c>
    </row>
    <row r="73" spans="1:1" x14ac:dyDescent="0.25">
      <c r="A73" s="185"/>
    </row>
    <row r="74" spans="1:1" x14ac:dyDescent="0.25">
      <c r="A74" s="184" t="s">
        <v>2245</v>
      </c>
    </row>
    <row r="75" spans="1:1" x14ac:dyDescent="0.25">
      <c r="A75" s="184" t="s">
        <v>2246</v>
      </c>
    </row>
    <row r="76" spans="1:1" x14ac:dyDescent="0.25">
      <c r="A76" s="185"/>
    </row>
    <row r="77" spans="1:1" x14ac:dyDescent="0.25">
      <c r="A77" s="184" t="s">
        <v>2247</v>
      </c>
    </row>
    <row r="78" spans="1:1" x14ac:dyDescent="0.25">
      <c r="A78" s="184" t="s">
        <v>2248</v>
      </c>
    </row>
    <row r="79" spans="1:1" x14ac:dyDescent="0.25">
      <c r="A79" s="185"/>
    </row>
    <row r="80" spans="1:1" x14ac:dyDescent="0.25">
      <c r="A80" s="184" t="s">
        <v>2249</v>
      </c>
    </row>
    <row r="81" spans="1:1" x14ac:dyDescent="0.25">
      <c r="A81" s="184" t="s">
        <v>2250</v>
      </c>
    </row>
    <row r="82" spans="1:1" x14ac:dyDescent="0.25">
      <c r="A82" s="184" t="s">
        <v>2251</v>
      </c>
    </row>
    <row r="83" spans="1:1" x14ac:dyDescent="0.25">
      <c r="A83" s="184" t="s">
        <v>2252</v>
      </c>
    </row>
    <row r="84" spans="1:1" x14ac:dyDescent="0.25">
      <c r="A84" s="185"/>
    </row>
    <row r="85" spans="1:1" x14ac:dyDescent="0.25">
      <c r="A85" s="184" t="s">
        <v>2253</v>
      </c>
    </row>
    <row r="86" spans="1:1" x14ac:dyDescent="0.25">
      <c r="A86" s="184" t="s">
        <v>2254</v>
      </c>
    </row>
    <row r="87" spans="1:1" x14ac:dyDescent="0.25">
      <c r="A87" s="185"/>
    </row>
    <row r="88" spans="1:1" x14ac:dyDescent="0.25">
      <c r="A88" s="184" t="s">
        <v>2255</v>
      </c>
    </row>
    <row r="89" spans="1:1" x14ac:dyDescent="0.25">
      <c r="A89" s="185"/>
    </row>
    <row r="90" spans="1:1" x14ac:dyDescent="0.25">
      <c r="A90" s="184" t="s">
        <v>2256</v>
      </c>
    </row>
    <row r="91" spans="1:1" x14ac:dyDescent="0.25">
      <c r="A91" s="185"/>
    </row>
    <row r="92" spans="1:1" x14ac:dyDescent="0.25">
      <c r="A92" s="184" t="s">
        <v>2257</v>
      </c>
    </row>
    <row r="93" spans="1:1" x14ac:dyDescent="0.25">
      <c r="A93" s="184" t="s">
        <v>2258</v>
      </c>
    </row>
    <row r="94" spans="1:1" x14ac:dyDescent="0.25">
      <c r="A94" s="185"/>
    </row>
    <row r="95" spans="1:1" x14ac:dyDescent="0.25">
      <c r="A95" s="184" t="s">
        <v>2259</v>
      </c>
    </row>
    <row r="96" spans="1:1" x14ac:dyDescent="0.25">
      <c r="A96" s="184" t="s">
        <v>2260</v>
      </c>
    </row>
    <row r="97" spans="1:13" x14ac:dyDescent="0.25">
      <c r="A97" s="184" t="s">
        <v>2261</v>
      </c>
    </row>
    <row r="98" spans="1:13" x14ac:dyDescent="0.25">
      <c r="A98" s="185"/>
    </row>
    <row r="99" spans="1:13" x14ac:dyDescent="0.25">
      <c r="A99" s="184" t="s">
        <v>2262</v>
      </c>
    </row>
    <row r="100" spans="1:13" x14ac:dyDescent="0.25">
      <c r="A100" s="184" t="s">
        <v>2263</v>
      </c>
    </row>
    <row r="101" spans="1:13" x14ac:dyDescent="0.25">
      <c r="A101" s="185"/>
    </row>
    <row r="102" spans="1:13" x14ac:dyDescent="0.25">
      <c r="A102" s="184" t="s">
        <v>2264</v>
      </c>
    </row>
    <row r="103" spans="1:13" x14ac:dyDescent="0.25">
      <c r="A103" s="184" t="s">
        <v>2265</v>
      </c>
    </row>
    <row r="105" spans="1:13" ht="17.25" x14ac:dyDescent="0.25">
      <c r="A105" s="52" t="s">
        <v>2266</v>
      </c>
    </row>
    <row r="106" spans="1:13" ht="49.5" customHeight="1" x14ac:dyDescent="0.25">
      <c r="A106" s="230" t="s">
        <v>2267</v>
      </c>
      <c r="B106" s="230"/>
      <c r="C106" s="230"/>
      <c r="D106" s="230"/>
      <c r="E106" s="230"/>
      <c r="F106" s="230"/>
      <c r="G106" s="230"/>
      <c r="H106" s="230"/>
      <c r="I106" s="230"/>
      <c r="J106" s="230"/>
      <c r="K106" s="230"/>
      <c r="L106" s="230"/>
      <c r="M106" s="230"/>
    </row>
    <row r="107" spans="1:13" x14ac:dyDescent="0.25">
      <c r="A107" s="184" t="s">
        <v>2268</v>
      </c>
    </row>
    <row r="108" spans="1:13" x14ac:dyDescent="0.25">
      <c r="A108" s="184" t="s">
        <v>2269</v>
      </c>
    </row>
    <row r="109" spans="1:13" x14ac:dyDescent="0.25">
      <c r="A109" s="184" t="s">
        <v>2270</v>
      </c>
    </row>
    <row r="110" spans="1:13" x14ac:dyDescent="0.25">
      <c r="A110" s="184" t="s">
        <v>2271</v>
      </c>
    </row>
    <row r="111" spans="1:13" x14ac:dyDescent="0.25">
      <c r="A111" s="184" t="s">
        <v>2272</v>
      </c>
    </row>
    <row r="112" spans="1:13" ht="33.75" customHeight="1" x14ac:dyDescent="0.25">
      <c r="A112" s="229" t="s">
        <v>2273</v>
      </c>
      <c r="B112" s="229"/>
      <c r="C112" s="229"/>
      <c r="D112" s="229"/>
      <c r="E112" s="229"/>
      <c r="F112" s="229"/>
      <c r="G112" s="229"/>
      <c r="H112" s="229"/>
      <c r="I112" s="229"/>
      <c r="J112" s="229"/>
      <c r="K112" s="229"/>
      <c r="L112" s="229"/>
      <c r="M112" s="229"/>
    </row>
    <row r="113" spans="1:1" x14ac:dyDescent="0.25">
      <c r="A113" s="184" t="s">
        <v>2274</v>
      </c>
    </row>
    <row r="114" spans="1:1" x14ac:dyDescent="0.25">
      <c r="A114" s="184" t="s">
        <v>2275</v>
      </c>
    </row>
    <row r="115" spans="1:1" x14ac:dyDescent="0.25">
      <c r="A115" s="184" t="s">
        <v>2276</v>
      </c>
    </row>
    <row r="116" spans="1:1" x14ac:dyDescent="0.25">
      <c r="A116" s="184" t="s">
        <v>2277</v>
      </c>
    </row>
    <row r="117" spans="1:1" x14ac:dyDescent="0.25">
      <c r="A117" s="184" t="s">
        <v>2278</v>
      </c>
    </row>
    <row r="118" spans="1:1" x14ac:dyDescent="0.25">
      <c r="A118" s="184" t="s">
        <v>2279</v>
      </c>
    </row>
    <row r="119" spans="1:1" x14ac:dyDescent="0.25">
      <c r="A119" s="184" t="s">
        <v>2280</v>
      </c>
    </row>
    <row r="120" spans="1:1" x14ac:dyDescent="0.25">
      <c r="A120" s="184" t="s">
        <v>2281</v>
      </c>
    </row>
    <row r="121" spans="1:1" x14ac:dyDescent="0.25">
      <c r="A121" s="184" t="s">
        <v>2282</v>
      </c>
    </row>
    <row r="122" spans="1:1" x14ac:dyDescent="0.25">
      <c r="A122" s="184" t="s">
        <v>2283</v>
      </c>
    </row>
    <row r="123" spans="1:1" x14ac:dyDescent="0.25">
      <c r="A123" s="184" t="s">
        <v>2284</v>
      </c>
    </row>
    <row r="124" spans="1:1" ht="17.25" x14ac:dyDescent="0.25">
      <c r="A124" s="52" t="s">
        <v>2285</v>
      </c>
    </row>
    <row r="125" spans="1:1" x14ac:dyDescent="0.25">
      <c r="A125" s="184" t="s">
        <v>2286</v>
      </c>
    </row>
    <row r="126" spans="1:1" x14ac:dyDescent="0.25">
      <c r="A126" s="184" t="s">
        <v>2287</v>
      </c>
    </row>
    <row r="127" spans="1:1" x14ac:dyDescent="0.25">
      <c r="A127" s="184" t="s">
        <v>2288</v>
      </c>
    </row>
    <row r="128" spans="1:1" x14ac:dyDescent="0.25">
      <c r="A128" s="184" t="s">
        <v>2289</v>
      </c>
    </row>
    <row r="129" spans="1:1" x14ac:dyDescent="0.25">
      <c r="A129" s="184" t="s">
        <v>2290</v>
      </c>
    </row>
    <row r="130" spans="1:1" x14ac:dyDescent="0.25">
      <c r="A130" s="184" t="s">
        <v>2291</v>
      </c>
    </row>
    <row r="131" spans="1:1" x14ac:dyDescent="0.25">
      <c r="A131" s="184" t="s">
        <v>2292</v>
      </c>
    </row>
    <row r="132" spans="1:1" x14ac:dyDescent="0.25">
      <c r="A132" s="184" t="s">
        <v>2293</v>
      </c>
    </row>
    <row r="133" spans="1:1" ht="17.25" x14ac:dyDescent="0.25">
      <c r="A133" s="52" t="s">
        <v>2294</v>
      </c>
    </row>
    <row r="134" spans="1:1" x14ac:dyDescent="0.25">
      <c r="A134" s="184" t="s">
        <v>2295</v>
      </c>
    </row>
    <row r="135" spans="1:1" x14ac:dyDescent="0.25">
      <c r="A135" s="184" t="s">
        <v>2296</v>
      </c>
    </row>
    <row r="136" spans="1:1" x14ac:dyDescent="0.25">
      <c r="A136" s="184" t="s">
        <v>2297</v>
      </c>
    </row>
    <row r="137" spans="1:1" x14ac:dyDescent="0.25">
      <c r="A137" s="184" t="s">
        <v>2298</v>
      </c>
    </row>
    <row r="138" spans="1:1" x14ac:dyDescent="0.25">
      <c r="A138" s="184" t="s">
        <v>2299</v>
      </c>
    </row>
    <row r="139" spans="1:1" x14ac:dyDescent="0.25">
      <c r="A139" s="184" t="s">
        <v>2299</v>
      </c>
    </row>
  </sheetData>
  <mergeCells count="6">
    <mergeCell ref="A112:M112"/>
    <mergeCell ref="A2:I2"/>
    <mergeCell ref="A13:J13"/>
    <mergeCell ref="A29:J29"/>
    <mergeCell ref="A43:J43"/>
    <mergeCell ref="A106:M106"/>
  </mergeCells>
  <pageMargins left="0.7" right="0.7" top="0.75" bottom="0.75" header="0.3" footer="0.3"/>
  <pageSetup paperSize="9" scale="4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CAE58-A8ED-418F-A0C6-9D9682D342F4}">
  <sheetPr>
    <pageSetUpPr fitToPage="1"/>
  </sheetPr>
  <dimension ref="A1:J314"/>
  <sheetViews>
    <sheetView zoomScale="68" workbookViewId="0">
      <selection activeCell="A16" sqref="A16:XFD16"/>
    </sheetView>
  </sheetViews>
  <sheetFormatPr defaultRowHeight="15" x14ac:dyDescent="0.25"/>
  <cols>
    <col min="1" max="16384" width="9.140625" style="183"/>
  </cols>
  <sheetData>
    <row r="1" spans="1:10" ht="18.75" x14ac:dyDescent="0.25">
      <c r="A1" s="182" t="s">
        <v>2301</v>
      </c>
    </row>
    <row r="2" spans="1:10" ht="51" customHeight="1" x14ac:dyDescent="0.25">
      <c r="A2" s="229" t="s">
        <v>2302</v>
      </c>
      <c r="B2" s="229"/>
      <c r="C2" s="229"/>
      <c r="D2" s="229"/>
      <c r="E2" s="229"/>
      <c r="F2" s="229"/>
      <c r="G2" s="229"/>
      <c r="H2" s="229"/>
      <c r="I2" s="229"/>
      <c r="J2" s="229"/>
    </row>
    <row r="3" spans="1:10" ht="17.25" x14ac:dyDescent="0.25">
      <c r="A3" s="52" t="s">
        <v>2303</v>
      </c>
    </row>
    <row r="4" spans="1:10" x14ac:dyDescent="0.25">
      <c r="A4" s="184" t="s">
        <v>2304</v>
      </c>
    </row>
    <row r="5" spans="1:10" x14ac:dyDescent="0.25">
      <c r="A5" s="184" t="s">
        <v>2305</v>
      </c>
    </row>
    <row r="6" spans="1:10" ht="17.25" x14ac:dyDescent="0.25">
      <c r="A6" s="52" t="s">
        <v>2306</v>
      </c>
    </row>
    <row r="7" spans="1:10" x14ac:dyDescent="0.25">
      <c r="A7" s="184" t="s">
        <v>2307</v>
      </c>
    </row>
    <row r="8" spans="1:10" x14ac:dyDescent="0.25">
      <c r="A8" s="184" t="s">
        <v>2308</v>
      </c>
    </row>
    <row r="9" spans="1:10" x14ac:dyDescent="0.25">
      <c r="A9" s="184" t="s">
        <v>2309</v>
      </c>
    </row>
    <row r="10" spans="1:10" x14ac:dyDescent="0.25">
      <c r="A10" s="184" t="s">
        <v>2310</v>
      </c>
    </row>
    <row r="11" spans="1:10" x14ac:dyDescent="0.25">
      <c r="A11" s="184" t="s">
        <v>2311</v>
      </c>
    </row>
    <row r="12" spans="1:10" ht="17.25" x14ac:dyDescent="0.25">
      <c r="A12" s="52" t="s">
        <v>2312</v>
      </c>
    </row>
    <row r="13" spans="1:10" x14ac:dyDescent="0.25">
      <c r="A13" s="184" t="s">
        <v>2313</v>
      </c>
    </row>
    <row r="14" spans="1:10" x14ac:dyDescent="0.25">
      <c r="A14" s="184" t="s">
        <v>2314</v>
      </c>
    </row>
    <row r="15" spans="1:10" x14ac:dyDescent="0.25">
      <c r="A15" s="184" t="s">
        <v>2315</v>
      </c>
    </row>
    <row r="16" spans="1:10" x14ac:dyDescent="0.25">
      <c r="A16" s="184" t="s">
        <v>2316</v>
      </c>
    </row>
    <row r="17" spans="1:1" ht="17.25" x14ac:dyDescent="0.25">
      <c r="A17" s="52" t="s">
        <v>2317</v>
      </c>
    </row>
    <row r="18" spans="1:1" x14ac:dyDescent="0.25">
      <c r="A18" s="184" t="s">
        <v>2318</v>
      </c>
    </row>
    <row r="19" spans="1:1" x14ac:dyDescent="0.25">
      <c r="A19" s="184" t="s">
        <v>2319</v>
      </c>
    </row>
    <row r="20" spans="1:1" ht="17.25" x14ac:dyDescent="0.25">
      <c r="A20" s="52" t="s">
        <v>2320</v>
      </c>
    </row>
    <row r="21" spans="1:1" x14ac:dyDescent="0.25">
      <c r="A21" s="184" t="s">
        <v>2321</v>
      </c>
    </row>
    <row r="22" spans="1:1" x14ac:dyDescent="0.25">
      <c r="A22" s="184" t="s">
        <v>2322</v>
      </c>
    </row>
    <row r="23" spans="1:1" x14ac:dyDescent="0.25">
      <c r="A23" s="184" t="s">
        <v>2323</v>
      </c>
    </row>
    <row r="24" spans="1:1" x14ac:dyDescent="0.25">
      <c r="A24" s="184" t="s">
        <v>2324</v>
      </c>
    </row>
    <row r="25" spans="1:1" x14ac:dyDescent="0.25">
      <c r="A25" s="184" t="s">
        <v>2325</v>
      </c>
    </row>
    <row r="26" spans="1:1" x14ac:dyDescent="0.25">
      <c r="A26" s="184" t="s">
        <v>2326</v>
      </c>
    </row>
    <row r="27" spans="1:1" x14ac:dyDescent="0.25">
      <c r="A27" s="184" t="s">
        <v>2327</v>
      </c>
    </row>
    <row r="28" spans="1:1" x14ac:dyDescent="0.25">
      <c r="A28" s="184" t="s">
        <v>2328</v>
      </c>
    </row>
    <row r="29" spans="1:1" x14ac:dyDescent="0.25">
      <c r="A29" s="184" t="s">
        <v>2329</v>
      </c>
    </row>
    <row r="30" spans="1:1" x14ac:dyDescent="0.25">
      <c r="A30" s="184" t="s">
        <v>2330</v>
      </c>
    </row>
    <row r="31" spans="1:1" x14ac:dyDescent="0.25">
      <c r="A31" s="184" t="s">
        <v>2331</v>
      </c>
    </row>
    <row r="32" spans="1:1" x14ac:dyDescent="0.25">
      <c r="A32" s="184" t="s">
        <v>2332</v>
      </c>
    </row>
    <row r="33" spans="1:1" x14ac:dyDescent="0.25">
      <c r="A33" s="184" t="s">
        <v>2333</v>
      </c>
    </row>
    <row r="34" spans="1:1" x14ac:dyDescent="0.25">
      <c r="A34" s="184" t="s">
        <v>2334</v>
      </c>
    </row>
    <row r="35" spans="1:1" ht="17.25" x14ac:dyDescent="0.25">
      <c r="A35" s="52" t="s">
        <v>2335</v>
      </c>
    </row>
    <row r="36" spans="1:1" x14ac:dyDescent="0.25">
      <c r="A36" s="184" t="s">
        <v>2336</v>
      </c>
    </row>
    <row r="37" spans="1:1" x14ac:dyDescent="0.25">
      <c r="A37" s="184" t="s">
        <v>2322</v>
      </c>
    </row>
    <row r="38" spans="1:1" x14ac:dyDescent="0.25">
      <c r="A38" s="184" t="s">
        <v>2337</v>
      </c>
    </row>
    <row r="39" spans="1:1" x14ac:dyDescent="0.25">
      <c r="A39" s="184" t="s">
        <v>2324</v>
      </c>
    </row>
    <row r="40" spans="1:1" x14ac:dyDescent="0.25">
      <c r="A40" s="184" t="s">
        <v>2325</v>
      </c>
    </row>
    <row r="41" spans="1:1" x14ac:dyDescent="0.25">
      <c r="A41" s="184" t="s">
        <v>2326</v>
      </c>
    </row>
    <row r="42" spans="1:1" x14ac:dyDescent="0.25">
      <c r="A42" s="184" t="s">
        <v>2327</v>
      </c>
    </row>
    <row r="43" spans="1:1" x14ac:dyDescent="0.25">
      <c r="A43" s="184" t="s">
        <v>2328</v>
      </c>
    </row>
    <row r="44" spans="1:1" x14ac:dyDescent="0.25">
      <c r="A44" s="184" t="s">
        <v>2338</v>
      </c>
    </row>
    <row r="45" spans="1:1" x14ac:dyDescent="0.25">
      <c r="A45" s="184" t="s">
        <v>2339</v>
      </c>
    </row>
    <row r="46" spans="1:1" x14ac:dyDescent="0.25">
      <c r="A46" s="184" t="s">
        <v>2340</v>
      </c>
    </row>
    <row r="47" spans="1:1" x14ac:dyDescent="0.25">
      <c r="A47" s="184" t="s">
        <v>2341</v>
      </c>
    </row>
    <row r="48" spans="1:1" x14ac:dyDescent="0.25">
      <c r="A48" s="184" t="s">
        <v>2342</v>
      </c>
    </row>
    <row r="49" spans="1:1" x14ac:dyDescent="0.25">
      <c r="A49" s="184" t="s">
        <v>2343</v>
      </c>
    </row>
    <row r="50" spans="1:1" ht="17.25" x14ac:dyDescent="0.25">
      <c r="A50" s="52" t="s">
        <v>2344</v>
      </c>
    </row>
    <row r="51" spans="1:1" x14ac:dyDescent="0.25">
      <c r="A51" s="184" t="s">
        <v>2345</v>
      </c>
    </row>
    <row r="52" spans="1:1" x14ac:dyDescent="0.25">
      <c r="A52" s="184" t="s">
        <v>2346</v>
      </c>
    </row>
    <row r="53" spans="1:1" x14ac:dyDescent="0.25">
      <c r="A53" s="184" t="s">
        <v>2347</v>
      </c>
    </row>
    <row r="54" spans="1:1" x14ac:dyDescent="0.25">
      <c r="A54" s="184" t="s">
        <v>2300</v>
      </c>
    </row>
    <row r="55" spans="1:1" x14ac:dyDescent="0.25">
      <c r="A55" s="184"/>
    </row>
    <row r="56" spans="1:1" x14ac:dyDescent="0.25">
      <c r="A56" s="184"/>
    </row>
    <row r="57" spans="1:1" x14ac:dyDescent="0.25">
      <c r="A57" s="184"/>
    </row>
    <row r="58" spans="1:1" x14ac:dyDescent="0.25">
      <c r="A58" s="184"/>
    </row>
    <row r="59" spans="1:1" x14ac:dyDescent="0.25">
      <c r="A59" s="184"/>
    </row>
    <row r="60" spans="1:1" x14ac:dyDescent="0.25">
      <c r="A60" s="184"/>
    </row>
    <row r="61" spans="1:1" x14ac:dyDescent="0.25">
      <c r="A61" s="184"/>
    </row>
    <row r="62" spans="1:1" x14ac:dyDescent="0.25">
      <c r="A62" s="184"/>
    </row>
    <row r="63" spans="1:1" x14ac:dyDescent="0.25">
      <c r="A63" s="184"/>
    </row>
    <row r="64" spans="1:1" x14ac:dyDescent="0.25">
      <c r="A64" s="184"/>
    </row>
    <row r="65" spans="1:1" x14ac:dyDescent="0.25">
      <c r="A65" s="184"/>
    </row>
    <row r="66" spans="1:1" x14ac:dyDescent="0.25">
      <c r="A66" s="184"/>
    </row>
    <row r="67" spans="1:1" ht="17.25" x14ac:dyDescent="0.25">
      <c r="A67" s="52"/>
    </row>
    <row r="68" spans="1:1" x14ac:dyDescent="0.25">
      <c r="A68" s="184"/>
    </row>
    <row r="69" spans="1:1" x14ac:dyDescent="0.25">
      <c r="A69" s="184"/>
    </row>
    <row r="70" spans="1:1" x14ac:dyDescent="0.25">
      <c r="A70" s="184"/>
    </row>
    <row r="71" spans="1:1" x14ac:dyDescent="0.25">
      <c r="A71" s="184"/>
    </row>
    <row r="72" spans="1:1" x14ac:dyDescent="0.25">
      <c r="A72" s="184"/>
    </row>
    <row r="73" spans="1:1" x14ac:dyDescent="0.25">
      <c r="A73" s="184"/>
    </row>
    <row r="74" spans="1:1" x14ac:dyDescent="0.25">
      <c r="A74" s="184"/>
    </row>
    <row r="75" spans="1:1" x14ac:dyDescent="0.25">
      <c r="A75" s="184"/>
    </row>
    <row r="76" spans="1:1" x14ac:dyDescent="0.25">
      <c r="A76" s="184"/>
    </row>
    <row r="77" spans="1:1" x14ac:dyDescent="0.25">
      <c r="A77" s="184"/>
    </row>
    <row r="78" spans="1:1" x14ac:dyDescent="0.25">
      <c r="A78" s="184"/>
    </row>
    <row r="79" spans="1:1" x14ac:dyDescent="0.25">
      <c r="A79" s="184"/>
    </row>
    <row r="80" spans="1:1" x14ac:dyDescent="0.25">
      <c r="A80" s="184"/>
    </row>
    <row r="81" spans="1:1" x14ac:dyDescent="0.25">
      <c r="A81" s="184"/>
    </row>
    <row r="82" spans="1:1" x14ac:dyDescent="0.25">
      <c r="A82" s="184"/>
    </row>
    <row r="83" spans="1:1" x14ac:dyDescent="0.25">
      <c r="A83" s="184"/>
    </row>
    <row r="84" spans="1:1" x14ac:dyDescent="0.25">
      <c r="A84" s="184"/>
    </row>
    <row r="85" spans="1:1" x14ac:dyDescent="0.25">
      <c r="A85" s="184"/>
    </row>
    <row r="86" spans="1:1" x14ac:dyDescent="0.25">
      <c r="A86" s="184"/>
    </row>
    <row r="87" spans="1:1" x14ac:dyDescent="0.25">
      <c r="A87" s="184"/>
    </row>
    <row r="88" spans="1:1" x14ac:dyDescent="0.25">
      <c r="A88" s="184"/>
    </row>
    <row r="89" spans="1:1" x14ac:dyDescent="0.25">
      <c r="A89" s="184"/>
    </row>
    <row r="90" spans="1:1" x14ac:dyDescent="0.25">
      <c r="A90" s="184"/>
    </row>
    <row r="91" spans="1:1" x14ac:dyDescent="0.25">
      <c r="A91" s="184"/>
    </row>
    <row r="92" spans="1:1" x14ac:dyDescent="0.25">
      <c r="A92" s="184"/>
    </row>
    <row r="93" spans="1:1" x14ac:dyDescent="0.25">
      <c r="A93" s="184"/>
    </row>
    <row r="94" spans="1:1" x14ac:dyDescent="0.25">
      <c r="A94" s="184"/>
    </row>
    <row r="95" spans="1:1" x14ac:dyDescent="0.25">
      <c r="A95" s="184"/>
    </row>
    <row r="96" spans="1:1" x14ac:dyDescent="0.25">
      <c r="A96" s="184"/>
    </row>
    <row r="97" spans="1:1" x14ac:dyDescent="0.25">
      <c r="A97" s="184"/>
    </row>
    <row r="98" spans="1:1" ht="17.25" x14ac:dyDescent="0.25">
      <c r="A98" s="52"/>
    </row>
    <row r="99" spans="1:1" x14ac:dyDescent="0.25">
      <c r="A99" s="184"/>
    </row>
    <row r="100" spans="1:1" x14ac:dyDescent="0.25">
      <c r="A100" s="184"/>
    </row>
    <row r="101" spans="1:1" x14ac:dyDescent="0.25">
      <c r="A101" s="184"/>
    </row>
    <row r="102" spans="1:1" x14ac:dyDescent="0.25">
      <c r="A102" s="184"/>
    </row>
    <row r="103" spans="1:1" x14ac:dyDescent="0.25">
      <c r="A103" s="184"/>
    </row>
    <row r="104" spans="1:1" x14ac:dyDescent="0.25">
      <c r="A104" s="184"/>
    </row>
    <row r="105" spans="1:1" x14ac:dyDescent="0.25">
      <c r="A105" s="184"/>
    </row>
    <row r="106" spans="1:1" x14ac:dyDescent="0.25">
      <c r="A106" s="184"/>
    </row>
    <row r="107" spans="1:1" x14ac:dyDescent="0.25">
      <c r="A107" s="184"/>
    </row>
    <row r="108" spans="1:1" x14ac:dyDescent="0.25">
      <c r="A108" s="184"/>
    </row>
    <row r="109" spans="1:1" x14ac:dyDescent="0.25">
      <c r="A109" s="184"/>
    </row>
    <row r="110" spans="1:1" x14ac:dyDescent="0.25">
      <c r="A110" s="184"/>
    </row>
    <row r="111" spans="1:1" x14ac:dyDescent="0.25">
      <c r="A111" s="184"/>
    </row>
    <row r="112" spans="1:1" x14ac:dyDescent="0.25">
      <c r="A112" s="184"/>
    </row>
    <row r="113" spans="1:1" x14ac:dyDescent="0.25">
      <c r="A113" s="184"/>
    </row>
    <row r="114" spans="1:1" x14ac:dyDescent="0.25">
      <c r="A114" s="184"/>
    </row>
    <row r="115" spans="1:1" x14ac:dyDescent="0.25">
      <c r="A115" s="184"/>
    </row>
    <row r="116" spans="1:1" x14ac:dyDescent="0.25">
      <c r="A116" s="184"/>
    </row>
    <row r="117" spans="1:1" x14ac:dyDescent="0.25">
      <c r="A117" s="184"/>
    </row>
    <row r="118" spans="1:1" x14ac:dyDescent="0.25">
      <c r="A118" s="184"/>
    </row>
    <row r="119" spans="1:1" x14ac:dyDescent="0.25">
      <c r="A119" s="184"/>
    </row>
    <row r="120" spans="1:1" x14ac:dyDescent="0.25">
      <c r="A120" s="184"/>
    </row>
    <row r="121" spans="1:1" x14ac:dyDescent="0.25">
      <c r="A121" s="184"/>
    </row>
    <row r="122" spans="1:1" x14ac:dyDescent="0.25">
      <c r="A122" s="184"/>
    </row>
    <row r="123" spans="1:1" x14ac:dyDescent="0.25">
      <c r="A123" s="184"/>
    </row>
    <row r="124" spans="1:1" x14ac:dyDescent="0.25">
      <c r="A124" s="184"/>
    </row>
    <row r="125" spans="1:1" x14ac:dyDescent="0.25">
      <c r="A125" s="184"/>
    </row>
    <row r="126" spans="1:1" x14ac:dyDescent="0.25">
      <c r="A126" s="184"/>
    </row>
    <row r="127" spans="1:1" x14ac:dyDescent="0.25">
      <c r="A127" s="184"/>
    </row>
    <row r="128" spans="1:1" x14ac:dyDescent="0.25">
      <c r="A128" s="184"/>
    </row>
    <row r="129" spans="1:1" ht="17.25" x14ac:dyDescent="0.25">
      <c r="A129" s="52"/>
    </row>
    <row r="130" spans="1:1" x14ac:dyDescent="0.25">
      <c r="A130" s="184"/>
    </row>
    <row r="131" spans="1:1" x14ac:dyDescent="0.25">
      <c r="A131" s="184"/>
    </row>
    <row r="132" spans="1:1" x14ac:dyDescent="0.25">
      <c r="A132" s="184"/>
    </row>
    <row r="133" spans="1:1" x14ac:dyDescent="0.25">
      <c r="A133" s="184"/>
    </row>
    <row r="134" spans="1:1" x14ac:dyDescent="0.25">
      <c r="A134" s="184"/>
    </row>
    <row r="135" spans="1:1" x14ac:dyDescent="0.25">
      <c r="A135" s="184"/>
    </row>
    <row r="136" spans="1:1" x14ac:dyDescent="0.25">
      <c r="A136" s="184"/>
    </row>
    <row r="137" spans="1:1" x14ac:dyDescent="0.25">
      <c r="A137" s="184"/>
    </row>
    <row r="138" spans="1:1" x14ac:dyDescent="0.25">
      <c r="A138" s="184"/>
    </row>
    <row r="139" spans="1:1" x14ac:dyDescent="0.25">
      <c r="A139" s="184"/>
    </row>
    <row r="140" spans="1:1" x14ac:dyDescent="0.25">
      <c r="A140" s="184"/>
    </row>
    <row r="141" spans="1:1" x14ac:dyDescent="0.25">
      <c r="A141" s="184"/>
    </row>
    <row r="142" spans="1:1" x14ac:dyDescent="0.25">
      <c r="A142" s="184"/>
    </row>
    <row r="143" spans="1:1" x14ac:dyDescent="0.25">
      <c r="A143" s="184"/>
    </row>
    <row r="144" spans="1:1" x14ac:dyDescent="0.25">
      <c r="A144" s="184"/>
    </row>
    <row r="145" spans="1:1" x14ac:dyDescent="0.25">
      <c r="A145" s="184"/>
    </row>
    <row r="146" spans="1:1" x14ac:dyDescent="0.25">
      <c r="A146" s="184"/>
    </row>
    <row r="147" spans="1:1" x14ac:dyDescent="0.25">
      <c r="A147" s="184"/>
    </row>
    <row r="148" spans="1:1" x14ac:dyDescent="0.25">
      <c r="A148" s="184"/>
    </row>
    <row r="149" spans="1:1" x14ac:dyDescent="0.25">
      <c r="A149" s="184"/>
    </row>
    <row r="150" spans="1:1" x14ac:dyDescent="0.25">
      <c r="A150" s="184"/>
    </row>
    <row r="151" spans="1:1" x14ac:dyDescent="0.25">
      <c r="A151" s="184"/>
    </row>
    <row r="152" spans="1:1" x14ac:dyDescent="0.25">
      <c r="A152" s="184"/>
    </row>
    <row r="153" spans="1:1" x14ac:dyDescent="0.25">
      <c r="A153" s="184"/>
    </row>
    <row r="154" spans="1:1" x14ac:dyDescent="0.25">
      <c r="A154" s="184"/>
    </row>
    <row r="155" spans="1:1" x14ac:dyDescent="0.25">
      <c r="A155" s="184"/>
    </row>
    <row r="156" spans="1:1" x14ac:dyDescent="0.25">
      <c r="A156" s="184"/>
    </row>
    <row r="157" spans="1:1" x14ac:dyDescent="0.25">
      <c r="A157" s="184"/>
    </row>
    <row r="158" spans="1:1" x14ac:dyDescent="0.25">
      <c r="A158" s="184"/>
    </row>
    <row r="159" spans="1:1" x14ac:dyDescent="0.25">
      <c r="A159" s="184"/>
    </row>
    <row r="160" spans="1:1" ht="17.25" x14ac:dyDescent="0.25">
      <c r="A160" s="52"/>
    </row>
    <row r="161" spans="1:1" x14ac:dyDescent="0.25">
      <c r="A161" s="184"/>
    </row>
    <row r="162" spans="1:1" x14ac:dyDescent="0.25">
      <c r="A162" s="184"/>
    </row>
    <row r="163" spans="1:1" x14ac:dyDescent="0.25">
      <c r="A163" s="184"/>
    </row>
    <row r="164" spans="1:1" x14ac:dyDescent="0.25">
      <c r="A164" s="184"/>
    </row>
    <row r="165" spans="1:1" x14ac:dyDescent="0.25">
      <c r="A165" s="184"/>
    </row>
    <row r="166" spans="1:1" x14ac:dyDescent="0.25">
      <c r="A166" s="184"/>
    </row>
    <row r="167" spans="1:1" x14ac:dyDescent="0.25">
      <c r="A167" s="184"/>
    </row>
    <row r="168" spans="1:1" x14ac:dyDescent="0.25">
      <c r="A168" s="184"/>
    </row>
    <row r="169" spans="1:1" x14ac:dyDescent="0.25">
      <c r="A169" s="184"/>
    </row>
    <row r="170" spans="1:1" x14ac:dyDescent="0.25">
      <c r="A170" s="184"/>
    </row>
    <row r="171" spans="1:1" x14ac:dyDescent="0.25">
      <c r="A171" s="184"/>
    </row>
    <row r="172" spans="1:1" x14ac:dyDescent="0.25">
      <c r="A172" s="184"/>
    </row>
    <row r="173" spans="1:1" x14ac:dyDescent="0.25">
      <c r="A173" s="184"/>
    </row>
    <row r="174" spans="1:1" x14ac:dyDescent="0.25">
      <c r="A174" s="184"/>
    </row>
    <row r="175" spans="1:1" x14ac:dyDescent="0.25">
      <c r="A175" s="184"/>
    </row>
    <row r="176" spans="1:1" x14ac:dyDescent="0.25">
      <c r="A176" s="184"/>
    </row>
    <row r="177" spans="1:1" x14ac:dyDescent="0.25">
      <c r="A177" s="184"/>
    </row>
    <row r="178" spans="1:1" x14ac:dyDescent="0.25">
      <c r="A178" s="184"/>
    </row>
    <row r="179" spans="1:1" x14ac:dyDescent="0.25">
      <c r="A179" s="184"/>
    </row>
    <row r="180" spans="1:1" x14ac:dyDescent="0.25">
      <c r="A180" s="184"/>
    </row>
    <row r="181" spans="1:1" x14ac:dyDescent="0.25">
      <c r="A181" s="184"/>
    </row>
    <row r="182" spans="1:1" x14ac:dyDescent="0.25">
      <c r="A182" s="184"/>
    </row>
    <row r="183" spans="1:1" x14ac:dyDescent="0.25">
      <c r="A183" s="184"/>
    </row>
    <row r="184" spans="1:1" x14ac:dyDescent="0.25">
      <c r="A184" s="184"/>
    </row>
    <row r="185" spans="1:1" x14ac:dyDescent="0.25">
      <c r="A185" s="184"/>
    </row>
    <row r="186" spans="1:1" x14ac:dyDescent="0.25">
      <c r="A186" s="184"/>
    </row>
    <row r="187" spans="1:1" x14ac:dyDescent="0.25">
      <c r="A187" s="184"/>
    </row>
    <row r="188" spans="1:1" x14ac:dyDescent="0.25">
      <c r="A188" s="184"/>
    </row>
    <row r="189" spans="1:1" x14ac:dyDescent="0.25">
      <c r="A189" s="184"/>
    </row>
    <row r="190" spans="1:1" x14ac:dyDescent="0.25">
      <c r="A190" s="184"/>
    </row>
    <row r="191" spans="1:1" ht="17.25" x14ac:dyDescent="0.25">
      <c r="A191" s="52"/>
    </row>
    <row r="192" spans="1:1" x14ac:dyDescent="0.25">
      <c r="A192" s="184"/>
    </row>
    <row r="193" spans="1:1" x14ac:dyDescent="0.25">
      <c r="A193" s="184"/>
    </row>
    <row r="194" spans="1:1" x14ac:dyDescent="0.25">
      <c r="A194" s="184"/>
    </row>
    <row r="195" spans="1:1" x14ac:dyDescent="0.25">
      <c r="A195" s="184"/>
    </row>
    <row r="196" spans="1:1" x14ac:dyDescent="0.25">
      <c r="A196" s="184"/>
    </row>
    <row r="197" spans="1:1" x14ac:dyDescent="0.25">
      <c r="A197" s="184"/>
    </row>
    <row r="198" spans="1:1" x14ac:dyDescent="0.25">
      <c r="A198" s="184"/>
    </row>
    <row r="199" spans="1:1" x14ac:dyDescent="0.25">
      <c r="A199" s="184"/>
    </row>
    <row r="200" spans="1:1" x14ac:dyDescent="0.25">
      <c r="A200" s="184"/>
    </row>
    <row r="201" spans="1:1" x14ac:dyDescent="0.25">
      <c r="A201" s="184"/>
    </row>
    <row r="202" spans="1:1" x14ac:dyDescent="0.25">
      <c r="A202" s="184"/>
    </row>
    <row r="203" spans="1:1" x14ac:dyDescent="0.25">
      <c r="A203" s="184"/>
    </row>
    <row r="204" spans="1:1" x14ac:dyDescent="0.25">
      <c r="A204" s="184"/>
    </row>
    <row r="205" spans="1:1" x14ac:dyDescent="0.25">
      <c r="A205" s="184"/>
    </row>
    <row r="206" spans="1:1" x14ac:dyDescent="0.25">
      <c r="A206" s="184"/>
    </row>
    <row r="207" spans="1:1" x14ac:dyDescent="0.25">
      <c r="A207" s="184"/>
    </row>
    <row r="208" spans="1:1" x14ac:dyDescent="0.25">
      <c r="A208" s="184"/>
    </row>
    <row r="209" spans="1:1" x14ac:dyDescent="0.25">
      <c r="A209" s="184"/>
    </row>
    <row r="210" spans="1:1" x14ac:dyDescent="0.25">
      <c r="A210" s="184"/>
    </row>
    <row r="211" spans="1:1" x14ac:dyDescent="0.25">
      <c r="A211" s="184"/>
    </row>
    <row r="212" spans="1:1" x14ac:dyDescent="0.25">
      <c r="A212" s="184"/>
    </row>
    <row r="213" spans="1:1" x14ac:dyDescent="0.25">
      <c r="A213" s="184"/>
    </row>
    <row r="214" spans="1:1" x14ac:dyDescent="0.25">
      <c r="A214" s="184"/>
    </row>
    <row r="215" spans="1:1" x14ac:dyDescent="0.25">
      <c r="A215" s="184"/>
    </row>
    <row r="216" spans="1:1" x14ac:dyDescent="0.25">
      <c r="A216" s="184"/>
    </row>
    <row r="217" spans="1:1" x14ac:dyDescent="0.25">
      <c r="A217" s="184"/>
    </row>
    <row r="218" spans="1:1" x14ac:dyDescent="0.25">
      <c r="A218" s="184"/>
    </row>
    <row r="219" spans="1:1" x14ac:dyDescent="0.25">
      <c r="A219" s="184"/>
    </row>
    <row r="220" spans="1:1" x14ac:dyDescent="0.25">
      <c r="A220" s="184"/>
    </row>
    <row r="221" spans="1:1" x14ac:dyDescent="0.25">
      <c r="A221" s="184"/>
    </row>
    <row r="222" spans="1:1" ht="17.25" x14ac:dyDescent="0.25">
      <c r="A222" s="52"/>
    </row>
    <row r="223" spans="1:1" x14ac:dyDescent="0.25">
      <c r="A223" s="184"/>
    </row>
    <row r="224" spans="1:1" x14ac:dyDescent="0.25">
      <c r="A224" s="184"/>
    </row>
    <row r="225" spans="1:1" x14ac:dyDescent="0.25">
      <c r="A225" s="184"/>
    </row>
    <row r="226" spans="1:1" x14ac:dyDescent="0.25">
      <c r="A226" s="184"/>
    </row>
    <row r="227" spans="1:1" x14ac:dyDescent="0.25">
      <c r="A227" s="184"/>
    </row>
    <row r="228" spans="1:1" x14ac:dyDescent="0.25">
      <c r="A228" s="184"/>
    </row>
    <row r="229" spans="1:1" x14ac:dyDescent="0.25">
      <c r="A229" s="184"/>
    </row>
    <row r="230" spans="1:1" x14ac:dyDescent="0.25">
      <c r="A230" s="184"/>
    </row>
    <row r="231" spans="1:1" x14ac:dyDescent="0.25">
      <c r="A231" s="184"/>
    </row>
    <row r="232" spans="1:1" x14ac:dyDescent="0.25">
      <c r="A232" s="184"/>
    </row>
    <row r="233" spans="1:1" x14ac:dyDescent="0.25">
      <c r="A233" s="184"/>
    </row>
    <row r="234" spans="1:1" x14ac:dyDescent="0.25">
      <c r="A234" s="184"/>
    </row>
    <row r="235" spans="1:1" x14ac:dyDescent="0.25">
      <c r="A235" s="184"/>
    </row>
    <row r="236" spans="1:1" x14ac:dyDescent="0.25">
      <c r="A236" s="184"/>
    </row>
    <row r="237" spans="1:1" x14ac:dyDescent="0.25">
      <c r="A237" s="184"/>
    </row>
    <row r="238" spans="1:1" x14ac:dyDescent="0.25">
      <c r="A238" s="184"/>
    </row>
    <row r="239" spans="1:1" x14ac:dyDescent="0.25">
      <c r="A239" s="184"/>
    </row>
    <row r="240" spans="1:1" x14ac:dyDescent="0.25">
      <c r="A240" s="184"/>
    </row>
    <row r="241" spans="1:1" x14ac:dyDescent="0.25">
      <c r="A241" s="184"/>
    </row>
    <row r="242" spans="1:1" x14ac:dyDescent="0.25">
      <c r="A242" s="184"/>
    </row>
    <row r="243" spans="1:1" x14ac:dyDescent="0.25">
      <c r="A243" s="184"/>
    </row>
    <row r="244" spans="1:1" x14ac:dyDescent="0.25">
      <c r="A244" s="184"/>
    </row>
    <row r="245" spans="1:1" x14ac:dyDescent="0.25">
      <c r="A245" s="184"/>
    </row>
    <row r="246" spans="1:1" x14ac:dyDescent="0.25">
      <c r="A246" s="184"/>
    </row>
    <row r="247" spans="1:1" x14ac:dyDescent="0.25">
      <c r="A247" s="184"/>
    </row>
    <row r="248" spans="1:1" x14ac:dyDescent="0.25">
      <c r="A248" s="184"/>
    </row>
    <row r="249" spans="1:1" x14ac:dyDescent="0.25">
      <c r="A249" s="184"/>
    </row>
    <row r="250" spans="1:1" x14ac:dyDescent="0.25">
      <c r="A250" s="184"/>
    </row>
    <row r="251" spans="1:1" x14ac:dyDescent="0.25">
      <c r="A251" s="184"/>
    </row>
    <row r="252" spans="1:1" x14ac:dyDescent="0.25">
      <c r="A252" s="184"/>
    </row>
    <row r="253" spans="1:1" ht="17.25" x14ac:dyDescent="0.25">
      <c r="A253" s="52"/>
    </row>
    <row r="254" spans="1:1" x14ac:dyDescent="0.25">
      <c r="A254" s="184"/>
    </row>
    <row r="255" spans="1:1" x14ac:dyDescent="0.25">
      <c r="A255" s="184"/>
    </row>
    <row r="256" spans="1:1" x14ac:dyDescent="0.25">
      <c r="A256" s="184"/>
    </row>
    <row r="257" spans="1:1" x14ac:dyDescent="0.25">
      <c r="A257" s="184"/>
    </row>
    <row r="258" spans="1:1" x14ac:dyDescent="0.25">
      <c r="A258" s="184"/>
    </row>
    <row r="259" spans="1:1" x14ac:dyDescent="0.25">
      <c r="A259" s="184"/>
    </row>
    <row r="260" spans="1:1" x14ac:dyDescent="0.25">
      <c r="A260" s="184"/>
    </row>
    <row r="261" spans="1:1" x14ac:dyDescent="0.25">
      <c r="A261" s="184"/>
    </row>
    <row r="262" spans="1:1" x14ac:dyDescent="0.25">
      <c r="A262" s="184"/>
    </row>
    <row r="263" spans="1:1" x14ac:dyDescent="0.25">
      <c r="A263" s="184"/>
    </row>
    <row r="264" spans="1:1" x14ac:dyDescent="0.25">
      <c r="A264" s="184"/>
    </row>
    <row r="265" spans="1:1" x14ac:dyDescent="0.25">
      <c r="A265" s="184"/>
    </row>
    <row r="266" spans="1:1" x14ac:dyDescent="0.25">
      <c r="A266" s="184"/>
    </row>
    <row r="267" spans="1:1" x14ac:dyDescent="0.25">
      <c r="A267" s="184"/>
    </row>
    <row r="268" spans="1:1" x14ac:dyDescent="0.25">
      <c r="A268" s="184"/>
    </row>
    <row r="269" spans="1:1" x14ac:dyDescent="0.25">
      <c r="A269" s="184"/>
    </row>
    <row r="270" spans="1:1" x14ac:dyDescent="0.25">
      <c r="A270" s="184"/>
    </row>
    <row r="271" spans="1:1" x14ac:dyDescent="0.25">
      <c r="A271" s="184"/>
    </row>
    <row r="272" spans="1:1" x14ac:dyDescent="0.25">
      <c r="A272" s="184"/>
    </row>
    <row r="273" spans="1:1" x14ac:dyDescent="0.25">
      <c r="A273" s="184"/>
    </row>
    <row r="274" spans="1:1" x14ac:dyDescent="0.25">
      <c r="A274" s="184"/>
    </row>
    <row r="275" spans="1:1" x14ac:dyDescent="0.25">
      <c r="A275" s="184"/>
    </row>
    <row r="276" spans="1:1" x14ac:dyDescent="0.25">
      <c r="A276" s="184"/>
    </row>
    <row r="277" spans="1:1" x14ac:dyDescent="0.25">
      <c r="A277" s="184"/>
    </row>
    <row r="278" spans="1:1" x14ac:dyDescent="0.25">
      <c r="A278" s="184"/>
    </row>
    <row r="279" spans="1:1" x14ac:dyDescent="0.25">
      <c r="A279" s="184"/>
    </row>
    <row r="280" spans="1:1" x14ac:dyDescent="0.25">
      <c r="A280" s="184"/>
    </row>
    <row r="281" spans="1:1" x14ac:dyDescent="0.25">
      <c r="A281" s="184"/>
    </row>
    <row r="282" spans="1:1" x14ac:dyDescent="0.25">
      <c r="A282" s="184"/>
    </row>
    <row r="283" spans="1:1" x14ac:dyDescent="0.25">
      <c r="A283" s="184"/>
    </row>
    <row r="284" spans="1:1" ht="17.25" x14ac:dyDescent="0.25">
      <c r="A284" s="52"/>
    </row>
    <row r="285" spans="1:1" x14ac:dyDescent="0.25">
      <c r="A285" s="184"/>
    </row>
    <row r="286" spans="1:1" x14ac:dyDescent="0.25">
      <c r="A286" s="184"/>
    </row>
    <row r="287" spans="1:1" x14ac:dyDescent="0.25">
      <c r="A287" s="184"/>
    </row>
    <row r="288" spans="1:1" x14ac:dyDescent="0.25">
      <c r="A288" s="184"/>
    </row>
    <row r="289" spans="1:1" x14ac:dyDescent="0.25">
      <c r="A289" s="184"/>
    </row>
    <row r="290" spans="1:1" x14ac:dyDescent="0.25">
      <c r="A290" s="184"/>
    </row>
    <row r="291" spans="1:1" x14ac:dyDescent="0.25">
      <c r="A291" s="184"/>
    </row>
    <row r="292" spans="1:1" x14ac:dyDescent="0.25">
      <c r="A292" s="184"/>
    </row>
    <row r="293" spans="1:1" x14ac:dyDescent="0.25">
      <c r="A293" s="184"/>
    </row>
    <row r="294" spans="1:1" x14ac:dyDescent="0.25">
      <c r="A294" s="184"/>
    </row>
    <row r="295" spans="1:1" x14ac:dyDescent="0.25">
      <c r="A295" s="184"/>
    </row>
    <row r="296" spans="1:1" x14ac:dyDescent="0.25">
      <c r="A296" s="184"/>
    </row>
    <row r="297" spans="1:1" x14ac:dyDescent="0.25">
      <c r="A297" s="184"/>
    </row>
    <row r="298" spans="1:1" x14ac:dyDescent="0.25">
      <c r="A298" s="184"/>
    </row>
    <row r="299" spans="1:1" x14ac:dyDescent="0.25">
      <c r="A299" s="184"/>
    </row>
    <row r="300" spans="1:1" x14ac:dyDescent="0.25">
      <c r="A300" s="184"/>
    </row>
    <row r="301" spans="1:1" x14ac:dyDescent="0.25">
      <c r="A301" s="184"/>
    </row>
    <row r="302" spans="1:1" x14ac:dyDescent="0.25">
      <c r="A302" s="184"/>
    </row>
    <row r="303" spans="1:1" x14ac:dyDescent="0.25">
      <c r="A303" s="184"/>
    </row>
    <row r="304" spans="1:1" x14ac:dyDescent="0.25">
      <c r="A304" s="184"/>
    </row>
    <row r="305" spans="1:1" x14ac:dyDescent="0.25">
      <c r="A305" s="184"/>
    </row>
    <row r="306" spans="1:1" x14ac:dyDescent="0.25">
      <c r="A306" s="184"/>
    </row>
    <row r="307" spans="1:1" x14ac:dyDescent="0.25">
      <c r="A307" s="184"/>
    </row>
    <row r="308" spans="1:1" x14ac:dyDescent="0.25">
      <c r="A308" s="184"/>
    </row>
    <row r="309" spans="1:1" x14ac:dyDescent="0.25">
      <c r="A309" s="184"/>
    </row>
    <row r="310" spans="1:1" x14ac:dyDescent="0.25">
      <c r="A310" s="184"/>
    </row>
    <row r="311" spans="1:1" x14ac:dyDescent="0.25">
      <c r="A311" s="184"/>
    </row>
    <row r="312" spans="1:1" x14ac:dyDescent="0.25">
      <c r="A312" s="184"/>
    </row>
    <row r="313" spans="1:1" x14ac:dyDescent="0.25">
      <c r="A313" s="184"/>
    </row>
    <row r="314" spans="1:1" x14ac:dyDescent="0.25">
      <c r="A314" s="184"/>
    </row>
  </sheetData>
  <mergeCells count="1">
    <mergeCell ref="A2:J2"/>
  </mergeCells>
  <pageMargins left="0.7" right="0.7" top="0.75" bottom="0.75" header="0.3" footer="0.3"/>
  <pageSetup paperSize="9" scale="79"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F4592-66F6-428C-9819-498041D1A24A}">
  <sheetPr>
    <tabColor theme="1" tint="4.9989318521683403E-2"/>
  </sheetPr>
  <dimension ref="A1:O17"/>
  <sheetViews>
    <sheetView workbookViewId="0">
      <selection activeCell="D18" sqref="D18"/>
    </sheetView>
  </sheetViews>
  <sheetFormatPr defaultRowHeight="15" x14ac:dyDescent="0.25"/>
  <cols>
    <col min="15" max="15" width="9.140625" hidden="1" customWidth="1"/>
  </cols>
  <sheetData>
    <row r="1" spans="1:15" x14ac:dyDescent="0.25">
      <c r="A1" s="202" t="s">
        <v>1954</v>
      </c>
      <c r="B1" s="202"/>
      <c r="C1" s="202"/>
      <c r="D1" s="202"/>
      <c r="E1" s="202"/>
      <c r="F1" s="202"/>
      <c r="G1" s="202"/>
      <c r="H1" s="202"/>
      <c r="I1" s="202"/>
      <c r="J1" s="202"/>
      <c r="K1" s="202"/>
      <c r="L1" s="202"/>
      <c r="M1" s="202"/>
      <c r="N1" s="202"/>
      <c r="O1" s="202"/>
    </row>
    <row r="2" spans="1:15" x14ac:dyDescent="0.25">
      <c r="A2" s="202"/>
      <c r="B2" s="202"/>
      <c r="C2" s="202"/>
      <c r="D2" s="202"/>
      <c r="E2" s="202"/>
      <c r="F2" s="202"/>
      <c r="G2" s="202"/>
      <c r="H2" s="202"/>
      <c r="I2" s="202"/>
      <c r="J2" s="202"/>
      <c r="K2" s="202"/>
      <c r="L2" s="202"/>
      <c r="M2" s="202"/>
      <c r="N2" s="202"/>
      <c r="O2" s="202"/>
    </row>
    <row r="3" spans="1:15" x14ac:dyDescent="0.25">
      <c r="A3" s="202"/>
      <c r="B3" s="202"/>
      <c r="C3" s="202"/>
      <c r="D3" s="202"/>
      <c r="E3" s="202"/>
      <c r="F3" s="202"/>
      <c r="G3" s="202"/>
      <c r="H3" s="202"/>
      <c r="I3" s="202"/>
      <c r="J3" s="202"/>
      <c r="K3" s="202"/>
      <c r="L3" s="202"/>
      <c r="M3" s="202"/>
      <c r="N3" s="202"/>
      <c r="O3" s="202"/>
    </row>
    <row r="4" spans="1:15" x14ac:dyDescent="0.25">
      <c r="A4" s="202"/>
      <c r="B4" s="202"/>
      <c r="C4" s="202"/>
      <c r="D4" s="202"/>
      <c r="E4" s="202"/>
      <c r="F4" s="202"/>
      <c r="G4" s="202"/>
      <c r="H4" s="202"/>
      <c r="I4" s="202"/>
      <c r="J4" s="202"/>
      <c r="K4" s="202"/>
      <c r="L4" s="202"/>
      <c r="M4" s="202"/>
      <c r="N4" s="202"/>
      <c r="O4" s="202"/>
    </row>
    <row r="5" spans="1:15" x14ac:dyDescent="0.25">
      <c r="A5" s="202"/>
      <c r="B5" s="202"/>
      <c r="C5" s="202"/>
      <c r="D5" s="202"/>
      <c r="E5" s="202"/>
      <c r="F5" s="202"/>
      <c r="G5" s="202"/>
      <c r="H5" s="202"/>
      <c r="I5" s="202"/>
      <c r="J5" s="202"/>
      <c r="K5" s="202"/>
      <c r="L5" s="202"/>
      <c r="M5" s="202"/>
      <c r="N5" s="202"/>
      <c r="O5" s="202"/>
    </row>
    <row r="6" spans="1:15" x14ac:dyDescent="0.25">
      <c r="A6" s="202"/>
      <c r="B6" s="202"/>
      <c r="C6" s="202"/>
      <c r="D6" s="202"/>
      <c r="E6" s="202"/>
      <c r="F6" s="202"/>
      <c r="G6" s="202"/>
      <c r="H6" s="202"/>
      <c r="I6" s="202"/>
      <c r="J6" s="202"/>
      <c r="K6" s="202"/>
      <c r="L6" s="202"/>
      <c r="M6" s="202"/>
      <c r="N6" s="202"/>
      <c r="O6" s="202"/>
    </row>
    <row r="7" spans="1:15" x14ac:dyDescent="0.25">
      <c r="A7" s="202"/>
      <c r="B7" s="202"/>
      <c r="C7" s="202"/>
      <c r="D7" s="202"/>
      <c r="E7" s="202"/>
      <c r="F7" s="202"/>
      <c r="G7" s="202"/>
      <c r="H7" s="202"/>
      <c r="I7" s="202"/>
      <c r="J7" s="202"/>
      <c r="K7" s="202"/>
      <c r="L7" s="202"/>
      <c r="M7" s="202"/>
      <c r="N7" s="202"/>
      <c r="O7" s="202"/>
    </row>
    <row r="8" spans="1:15" x14ac:dyDescent="0.25">
      <c r="A8" s="202"/>
      <c r="B8" s="202"/>
      <c r="C8" s="202"/>
      <c r="D8" s="202"/>
      <c r="E8" s="202"/>
      <c r="F8" s="202"/>
      <c r="G8" s="202"/>
      <c r="H8" s="202"/>
      <c r="I8" s="202"/>
      <c r="J8" s="202"/>
      <c r="K8" s="202"/>
      <c r="L8" s="202"/>
      <c r="M8" s="202"/>
      <c r="N8" s="202"/>
      <c r="O8" s="202"/>
    </row>
    <row r="9" spans="1:15" x14ac:dyDescent="0.25">
      <c r="A9" s="202"/>
      <c r="B9" s="202"/>
      <c r="C9" s="202"/>
      <c r="D9" s="202"/>
      <c r="E9" s="202"/>
      <c r="F9" s="202"/>
      <c r="G9" s="202"/>
      <c r="H9" s="202"/>
      <c r="I9" s="202"/>
      <c r="J9" s="202"/>
      <c r="K9" s="202"/>
      <c r="L9" s="202"/>
      <c r="M9" s="202"/>
      <c r="N9" s="202"/>
      <c r="O9" s="202"/>
    </row>
    <row r="10" spans="1:15" x14ac:dyDescent="0.25">
      <c r="A10" s="202"/>
      <c r="B10" s="202"/>
      <c r="C10" s="202"/>
      <c r="D10" s="202"/>
      <c r="E10" s="202"/>
      <c r="F10" s="202"/>
      <c r="G10" s="202"/>
      <c r="H10" s="202"/>
      <c r="I10" s="202"/>
      <c r="J10" s="202"/>
      <c r="K10" s="202"/>
      <c r="L10" s="202"/>
      <c r="M10" s="202"/>
      <c r="N10" s="202"/>
      <c r="O10" s="202"/>
    </row>
    <row r="11" spans="1:15" x14ac:dyDescent="0.25">
      <c r="A11" s="202"/>
      <c r="B11" s="202"/>
      <c r="C11" s="202"/>
      <c r="D11" s="202"/>
      <c r="E11" s="202"/>
      <c r="F11" s="202"/>
      <c r="G11" s="202"/>
      <c r="H11" s="202"/>
      <c r="I11" s="202"/>
      <c r="J11" s="202"/>
      <c r="K11" s="202"/>
      <c r="L11" s="202"/>
      <c r="M11" s="202"/>
      <c r="N11" s="202"/>
      <c r="O11" s="202"/>
    </row>
    <row r="12" spans="1:15" x14ac:dyDescent="0.25">
      <c r="A12" s="202"/>
      <c r="B12" s="202"/>
      <c r="C12" s="202"/>
      <c r="D12" s="202"/>
      <c r="E12" s="202"/>
      <c r="F12" s="202"/>
      <c r="G12" s="202"/>
      <c r="H12" s="202"/>
      <c r="I12" s="202"/>
      <c r="J12" s="202"/>
      <c r="K12" s="202"/>
      <c r="L12" s="202"/>
      <c r="M12" s="202"/>
      <c r="N12" s="202"/>
      <c r="O12" s="202"/>
    </row>
    <row r="13" spans="1:15" x14ac:dyDescent="0.25">
      <c r="A13" s="202"/>
      <c r="B13" s="202"/>
      <c r="C13" s="202"/>
      <c r="D13" s="202"/>
      <c r="E13" s="202"/>
      <c r="F13" s="202"/>
      <c r="G13" s="202"/>
      <c r="H13" s="202"/>
      <c r="I13" s="202"/>
      <c r="J13" s="202"/>
      <c r="K13" s="202"/>
      <c r="L13" s="202"/>
      <c r="M13" s="202"/>
      <c r="N13" s="202"/>
      <c r="O13" s="202"/>
    </row>
    <row r="14" spans="1:15" x14ac:dyDescent="0.25">
      <c r="A14" s="202"/>
      <c r="B14" s="202"/>
      <c r="C14" s="202"/>
      <c r="D14" s="202"/>
      <c r="E14" s="202"/>
      <c r="F14" s="202"/>
      <c r="G14" s="202"/>
      <c r="H14" s="202"/>
      <c r="I14" s="202"/>
      <c r="J14" s="202"/>
      <c r="K14" s="202"/>
      <c r="L14" s="202"/>
      <c r="M14" s="202"/>
      <c r="N14" s="202"/>
      <c r="O14" s="202"/>
    </row>
    <row r="15" spans="1:15" x14ac:dyDescent="0.25">
      <c r="A15" s="202"/>
      <c r="B15" s="202"/>
      <c r="C15" s="202"/>
      <c r="D15" s="202"/>
      <c r="E15" s="202"/>
      <c r="F15" s="202"/>
      <c r="G15" s="202"/>
      <c r="H15" s="202"/>
      <c r="I15" s="202"/>
      <c r="J15" s="202"/>
      <c r="K15" s="202"/>
      <c r="L15" s="202"/>
      <c r="M15" s="202"/>
      <c r="N15" s="202"/>
      <c r="O15" s="202"/>
    </row>
    <row r="16" spans="1:15" x14ac:dyDescent="0.25">
      <c r="A16" s="202"/>
      <c r="B16" s="202"/>
      <c r="C16" s="202"/>
      <c r="D16" s="202"/>
      <c r="E16" s="202"/>
      <c r="F16" s="202"/>
      <c r="G16" s="202"/>
      <c r="H16" s="202"/>
      <c r="I16" s="202"/>
      <c r="J16" s="202"/>
      <c r="K16" s="202"/>
      <c r="L16" s="202"/>
      <c r="M16" s="202"/>
      <c r="N16" s="202"/>
      <c r="O16" s="202"/>
    </row>
    <row r="17" spans="1:15" x14ac:dyDescent="0.25">
      <c r="A17" s="202"/>
      <c r="B17" s="202"/>
      <c r="C17" s="202"/>
      <c r="D17" s="202"/>
      <c r="E17" s="202"/>
      <c r="F17" s="202"/>
      <c r="G17" s="202"/>
      <c r="H17" s="202"/>
      <c r="I17" s="202"/>
      <c r="J17" s="202"/>
      <c r="K17" s="202"/>
      <c r="L17" s="202"/>
      <c r="M17" s="202"/>
      <c r="N17" s="202"/>
      <c r="O17" s="202"/>
    </row>
  </sheetData>
  <mergeCells count="1">
    <mergeCell ref="A1:O17"/>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B2465-6184-450D-8916-E617605F3F2C}">
  <sheetPr>
    <pageSetUpPr fitToPage="1"/>
  </sheetPr>
  <dimension ref="A1:K30"/>
  <sheetViews>
    <sheetView topLeftCell="D3" zoomScale="64" zoomScaleNormal="55" workbookViewId="0">
      <selection activeCell="E10" sqref="E10"/>
    </sheetView>
  </sheetViews>
  <sheetFormatPr defaultRowHeight="15" outlineLevelCol="1" x14ac:dyDescent="0.25"/>
  <cols>
    <col min="1" max="1" width="24.7109375" style="121" customWidth="1"/>
    <col min="2" max="2" width="34" style="121" bestFit="1" customWidth="1"/>
    <col min="3" max="3" width="25.7109375" style="127" bestFit="1" customWidth="1" outlineLevel="1"/>
    <col min="4" max="4" width="45.28515625" style="125" bestFit="1" customWidth="1" outlineLevel="1"/>
    <col min="5" max="5" width="61.5703125" style="123" customWidth="1"/>
    <col min="6" max="6" width="132.28515625" style="121" customWidth="1"/>
    <col min="7" max="7" width="115.7109375" style="121" customWidth="1"/>
    <col min="8" max="8" width="24.5703125" style="121" bestFit="1" customWidth="1"/>
    <col min="9" max="9" width="24.5703125" style="121" customWidth="1"/>
    <col min="10" max="10" width="12.5703125" style="121" customWidth="1"/>
    <col min="11" max="11" width="50" style="121" customWidth="1"/>
    <col min="12" max="16384" width="9.140625" style="121"/>
  </cols>
  <sheetData>
    <row r="1" spans="1:11" x14ac:dyDescent="0.25">
      <c r="A1" s="120" t="s">
        <v>0</v>
      </c>
      <c r="B1" s="120" t="s">
        <v>10</v>
      </c>
      <c r="C1" s="126" t="s">
        <v>11</v>
      </c>
      <c r="D1" s="124" t="s">
        <v>2022</v>
      </c>
      <c r="E1" s="122" t="s">
        <v>75</v>
      </c>
      <c r="F1" s="120" t="s">
        <v>2031</v>
      </c>
      <c r="G1" s="120" t="s">
        <v>2</v>
      </c>
      <c r="H1" s="120" t="s">
        <v>42</v>
      </c>
      <c r="I1" s="120" t="s">
        <v>39</v>
      </c>
      <c r="J1" s="120" t="s">
        <v>41</v>
      </c>
      <c r="K1" s="120" t="s">
        <v>45</v>
      </c>
    </row>
    <row r="2" spans="1:11" ht="57" customHeight="1" x14ac:dyDescent="0.25">
      <c r="A2" s="132" t="s">
        <v>3</v>
      </c>
      <c r="B2" s="132" t="s">
        <v>33</v>
      </c>
      <c r="C2" s="133" t="s">
        <v>26</v>
      </c>
      <c r="D2" s="134" t="s">
        <v>2020</v>
      </c>
      <c r="E2" s="135" t="s">
        <v>99</v>
      </c>
      <c r="F2" s="132" t="s">
        <v>27</v>
      </c>
      <c r="G2" s="132" t="s">
        <v>28</v>
      </c>
      <c r="H2" s="132" t="s">
        <v>34</v>
      </c>
      <c r="I2" s="132" t="s">
        <v>43</v>
      </c>
      <c r="J2" s="132" t="s">
        <v>40</v>
      </c>
      <c r="K2" s="132" t="s">
        <v>46</v>
      </c>
    </row>
    <row r="3" spans="1:11" ht="81.75" customHeight="1" x14ac:dyDescent="0.25">
      <c r="A3" s="132" t="s">
        <v>4</v>
      </c>
      <c r="B3" s="132" t="s">
        <v>33</v>
      </c>
      <c r="C3" s="133" t="s">
        <v>29</v>
      </c>
      <c r="D3" s="134" t="s">
        <v>2021</v>
      </c>
      <c r="E3" s="135" t="s">
        <v>100</v>
      </c>
      <c r="F3" s="132" t="s">
        <v>30</v>
      </c>
      <c r="G3" s="132" t="s">
        <v>31</v>
      </c>
      <c r="H3" s="132" t="s">
        <v>35</v>
      </c>
      <c r="I3" s="132" t="s">
        <v>43</v>
      </c>
      <c r="J3" s="132" t="s">
        <v>40</v>
      </c>
      <c r="K3" s="132" t="s">
        <v>46</v>
      </c>
    </row>
    <row r="4" spans="1:11" ht="48" customHeight="1" x14ac:dyDescent="0.25">
      <c r="A4" s="132" t="s">
        <v>5</v>
      </c>
      <c r="B4" s="132" t="s">
        <v>33</v>
      </c>
      <c r="C4" s="133" t="s">
        <v>48</v>
      </c>
      <c r="D4" s="134" t="s">
        <v>2019</v>
      </c>
      <c r="E4" s="135" t="s">
        <v>32</v>
      </c>
      <c r="F4" s="132" t="s">
        <v>32</v>
      </c>
      <c r="G4" s="132" t="s">
        <v>55</v>
      </c>
      <c r="H4" s="132" t="s">
        <v>33</v>
      </c>
      <c r="I4" s="132" t="s">
        <v>33</v>
      </c>
      <c r="J4" s="132" t="s">
        <v>33</v>
      </c>
      <c r="K4" s="132" t="s">
        <v>47</v>
      </c>
    </row>
    <row r="5" spans="1:11" ht="54.75" customHeight="1" x14ac:dyDescent="0.25">
      <c r="A5" s="132" t="s">
        <v>724</v>
      </c>
      <c r="B5" s="132" t="s">
        <v>33</v>
      </c>
      <c r="C5" s="133" t="s">
        <v>49</v>
      </c>
      <c r="D5" s="134" t="s">
        <v>1994</v>
      </c>
      <c r="E5" s="135" t="s">
        <v>54</v>
      </c>
      <c r="F5" s="132" t="s">
        <v>51</v>
      </c>
      <c r="G5" s="132" t="s">
        <v>52</v>
      </c>
      <c r="H5" s="132" t="s">
        <v>44</v>
      </c>
      <c r="I5" s="132" t="s">
        <v>43</v>
      </c>
      <c r="J5" s="132" t="s">
        <v>40</v>
      </c>
      <c r="K5" s="132" t="s">
        <v>46</v>
      </c>
    </row>
    <row r="6" spans="1:11" x14ac:dyDescent="0.25">
      <c r="A6" s="132" t="s">
        <v>8</v>
      </c>
      <c r="B6" s="132" t="s">
        <v>33</v>
      </c>
      <c r="C6" s="133" t="s">
        <v>59</v>
      </c>
      <c r="D6" s="134" t="s">
        <v>2016</v>
      </c>
      <c r="E6" s="135" t="s">
        <v>56</v>
      </c>
      <c r="F6" s="132" t="s">
        <v>57</v>
      </c>
      <c r="G6" s="132" t="s">
        <v>58</v>
      </c>
      <c r="H6" s="132" t="s">
        <v>36</v>
      </c>
      <c r="I6" s="132" t="s">
        <v>43</v>
      </c>
      <c r="J6" s="132" t="s">
        <v>40</v>
      </c>
      <c r="K6" s="132" t="s">
        <v>46</v>
      </c>
    </row>
    <row r="7" spans="1:11" ht="65.25" customHeight="1" x14ac:dyDescent="0.25">
      <c r="A7" s="132" t="s">
        <v>7</v>
      </c>
      <c r="B7" s="132" t="s">
        <v>33</v>
      </c>
      <c r="C7" s="133" t="s">
        <v>60</v>
      </c>
      <c r="D7" s="134" t="s">
        <v>1997</v>
      </c>
      <c r="E7" s="135" t="s">
        <v>327</v>
      </c>
      <c r="F7" s="132" t="s">
        <v>62</v>
      </c>
      <c r="G7" s="132" t="s">
        <v>61</v>
      </c>
      <c r="H7" s="132" t="s">
        <v>38</v>
      </c>
      <c r="I7" s="132" t="s">
        <v>43</v>
      </c>
      <c r="J7" s="132" t="s">
        <v>40</v>
      </c>
      <c r="K7" s="132" t="s">
        <v>46</v>
      </c>
    </row>
    <row r="8" spans="1:11" ht="43.5" customHeight="1" x14ac:dyDescent="0.25">
      <c r="A8" s="132" t="s">
        <v>17</v>
      </c>
      <c r="B8" s="132" t="s">
        <v>19</v>
      </c>
      <c r="C8" s="133" t="s">
        <v>65</v>
      </c>
      <c r="D8" s="134" t="s">
        <v>2008</v>
      </c>
      <c r="E8" s="135" t="s">
        <v>71</v>
      </c>
      <c r="F8" s="132" t="s">
        <v>2034</v>
      </c>
      <c r="G8" s="132" t="s">
        <v>1947</v>
      </c>
      <c r="H8" s="132" t="s">
        <v>19</v>
      </c>
      <c r="I8" s="132" t="s">
        <v>43</v>
      </c>
      <c r="J8" s="132" t="s">
        <v>40</v>
      </c>
      <c r="K8" s="132" t="s">
        <v>46</v>
      </c>
    </row>
    <row r="9" spans="1:11" ht="30" x14ac:dyDescent="0.25">
      <c r="A9" s="132" t="s">
        <v>17</v>
      </c>
      <c r="B9" s="132" t="s">
        <v>21</v>
      </c>
      <c r="C9" s="133" t="s">
        <v>65</v>
      </c>
      <c r="D9" s="134" t="s">
        <v>2009</v>
      </c>
      <c r="E9" s="135" t="s">
        <v>72</v>
      </c>
      <c r="F9" s="132" t="s">
        <v>2034</v>
      </c>
      <c r="G9" s="132" t="s">
        <v>1947</v>
      </c>
      <c r="H9" s="132" t="s">
        <v>21</v>
      </c>
      <c r="I9" s="132" t="s">
        <v>43</v>
      </c>
      <c r="J9" s="132" t="s">
        <v>40</v>
      </c>
      <c r="K9" s="132" t="s">
        <v>46</v>
      </c>
    </row>
    <row r="10" spans="1:11" ht="63.75" customHeight="1" x14ac:dyDescent="0.25">
      <c r="A10" s="132" t="s">
        <v>17</v>
      </c>
      <c r="B10" s="132" t="s">
        <v>20</v>
      </c>
      <c r="C10" s="133" t="s">
        <v>65</v>
      </c>
      <c r="D10" s="134" t="s">
        <v>2010</v>
      </c>
      <c r="E10" s="135" t="s">
        <v>329</v>
      </c>
      <c r="F10" s="132" t="s">
        <v>2035</v>
      </c>
      <c r="G10" s="132" t="s">
        <v>1947</v>
      </c>
      <c r="H10" s="132" t="s">
        <v>20</v>
      </c>
      <c r="I10" s="132" t="s">
        <v>43</v>
      </c>
      <c r="J10" s="132" t="s">
        <v>40</v>
      </c>
      <c r="K10" s="132" t="s">
        <v>46</v>
      </c>
    </row>
    <row r="11" spans="1:11" ht="54.75" customHeight="1" x14ac:dyDescent="0.25">
      <c r="A11" s="132" t="s">
        <v>17</v>
      </c>
      <c r="B11" s="132" t="s">
        <v>63</v>
      </c>
      <c r="C11" s="133" t="s">
        <v>65</v>
      </c>
      <c r="D11" s="134" t="s">
        <v>2011</v>
      </c>
      <c r="E11" s="135" t="s">
        <v>73</v>
      </c>
      <c r="F11" s="132" t="s">
        <v>2035</v>
      </c>
      <c r="G11" s="132" t="s">
        <v>1947</v>
      </c>
      <c r="H11" s="132" t="s">
        <v>63</v>
      </c>
      <c r="I11" s="132" t="s">
        <v>43</v>
      </c>
      <c r="J11" s="132" t="s">
        <v>40</v>
      </c>
      <c r="K11" s="132" t="s">
        <v>46</v>
      </c>
    </row>
    <row r="12" spans="1:11" ht="45" x14ac:dyDescent="0.25">
      <c r="A12" s="132" t="s">
        <v>17</v>
      </c>
      <c r="B12" s="132" t="s">
        <v>371</v>
      </c>
      <c r="C12" s="133" t="s">
        <v>65</v>
      </c>
      <c r="D12" s="134" t="s">
        <v>2011</v>
      </c>
      <c r="E12" s="135" t="s">
        <v>74</v>
      </c>
      <c r="F12" s="132" t="s">
        <v>2034</v>
      </c>
      <c r="G12" s="132" t="s">
        <v>1947</v>
      </c>
      <c r="H12" s="132" t="s">
        <v>15</v>
      </c>
      <c r="I12" s="132" t="s">
        <v>43</v>
      </c>
      <c r="J12" s="132" t="s">
        <v>40</v>
      </c>
      <c r="K12" s="132" t="s">
        <v>46</v>
      </c>
    </row>
    <row r="13" spans="1:11" ht="30" x14ac:dyDescent="0.25">
      <c r="A13" s="132" t="s">
        <v>17</v>
      </c>
      <c r="B13" s="132" t="s">
        <v>16</v>
      </c>
      <c r="C13" s="133" t="s">
        <v>65</v>
      </c>
      <c r="D13" s="134" t="s">
        <v>2011</v>
      </c>
      <c r="E13" s="135" t="s">
        <v>78</v>
      </c>
      <c r="F13" s="132" t="s">
        <v>2034</v>
      </c>
      <c r="G13" s="132" t="s">
        <v>1947</v>
      </c>
      <c r="H13" s="132" t="s">
        <v>16</v>
      </c>
      <c r="I13" s="132" t="s">
        <v>43</v>
      </c>
      <c r="J13" s="132" t="s">
        <v>40</v>
      </c>
      <c r="K13" s="132" t="s">
        <v>46</v>
      </c>
    </row>
    <row r="14" spans="1:11" ht="30" x14ac:dyDescent="0.25">
      <c r="A14" s="132" t="s">
        <v>17</v>
      </c>
      <c r="B14" s="132" t="s">
        <v>18</v>
      </c>
      <c r="C14" s="133" t="s">
        <v>65</v>
      </c>
      <c r="D14" s="134" t="s">
        <v>67</v>
      </c>
      <c r="E14" s="135" t="s">
        <v>328</v>
      </c>
      <c r="F14" s="132" t="s">
        <v>2034</v>
      </c>
      <c r="G14" s="132" t="s">
        <v>1947</v>
      </c>
      <c r="H14" s="132" t="s">
        <v>18</v>
      </c>
      <c r="I14" s="132" t="s">
        <v>43</v>
      </c>
      <c r="J14" s="132" t="s">
        <v>40</v>
      </c>
      <c r="K14" s="132" t="s">
        <v>46</v>
      </c>
    </row>
    <row r="15" spans="1:11" ht="30" x14ac:dyDescent="0.25">
      <c r="A15" s="132" t="s">
        <v>17</v>
      </c>
      <c r="B15" s="132" t="s">
        <v>22</v>
      </c>
      <c r="C15" s="133" t="s">
        <v>65</v>
      </c>
      <c r="D15" s="134" t="s">
        <v>2015</v>
      </c>
      <c r="E15" s="135" t="s">
        <v>73</v>
      </c>
      <c r="F15" s="132" t="s">
        <v>2034</v>
      </c>
      <c r="G15" s="132" t="s">
        <v>1947</v>
      </c>
      <c r="H15" s="132" t="s">
        <v>22</v>
      </c>
      <c r="I15" s="132" t="s">
        <v>43</v>
      </c>
      <c r="J15" s="132" t="s">
        <v>40</v>
      </c>
      <c r="K15" s="132" t="s">
        <v>46</v>
      </c>
    </row>
    <row r="16" spans="1:11" ht="68.25" customHeight="1" x14ac:dyDescent="0.25">
      <c r="A16" s="132" t="s">
        <v>37</v>
      </c>
      <c r="B16" s="132" t="s">
        <v>9</v>
      </c>
      <c r="C16" s="133" t="s">
        <v>66</v>
      </c>
      <c r="D16" s="134" t="s">
        <v>2017</v>
      </c>
      <c r="E16" s="135" t="s">
        <v>330</v>
      </c>
      <c r="F16" s="132" t="s">
        <v>1948</v>
      </c>
      <c r="G16" s="136" t="s">
        <v>1949</v>
      </c>
      <c r="H16" s="132" t="s">
        <v>9</v>
      </c>
      <c r="I16" s="132" t="s">
        <v>43</v>
      </c>
      <c r="J16" s="132" t="s">
        <v>40</v>
      </c>
      <c r="K16" s="132" t="s">
        <v>46</v>
      </c>
    </row>
    <row r="17" spans="1:11" ht="76.5" customHeight="1" x14ac:dyDescent="0.25">
      <c r="A17" s="132" t="s">
        <v>37</v>
      </c>
      <c r="B17" s="132" t="s">
        <v>12</v>
      </c>
      <c r="C17" s="133" t="s">
        <v>66</v>
      </c>
      <c r="D17" s="134" t="s">
        <v>69</v>
      </c>
      <c r="E17" s="135" t="s">
        <v>70</v>
      </c>
      <c r="F17" s="132" t="s">
        <v>64</v>
      </c>
      <c r="G17" s="136" t="s">
        <v>1949</v>
      </c>
      <c r="H17" s="132" t="s">
        <v>23</v>
      </c>
      <c r="I17" s="132" t="s">
        <v>43</v>
      </c>
      <c r="J17" s="132" t="s">
        <v>40</v>
      </c>
      <c r="K17" s="132" t="s">
        <v>46</v>
      </c>
    </row>
    <row r="18" spans="1:11" ht="30" x14ac:dyDescent="0.25">
      <c r="A18" s="132" t="s">
        <v>37</v>
      </c>
      <c r="B18" s="132" t="s">
        <v>371</v>
      </c>
      <c r="C18" s="133" t="s">
        <v>66</v>
      </c>
      <c r="D18" s="134" t="s">
        <v>2018</v>
      </c>
      <c r="E18" s="135" t="s">
        <v>331</v>
      </c>
      <c r="F18" s="132" t="s">
        <v>76</v>
      </c>
      <c r="G18" s="136" t="s">
        <v>1949</v>
      </c>
      <c r="H18" s="132" t="s">
        <v>13</v>
      </c>
      <c r="I18" s="132" t="s">
        <v>43</v>
      </c>
      <c r="J18" s="132" t="s">
        <v>40</v>
      </c>
      <c r="K18" s="132" t="s">
        <v>46</v>
      </c>
    </row>
    <row r="19" spans="1:11" ht="30" x14ac:dyDescent="0.25">
      <c r="A19" s="132" t="s">
        <v>37</v>
      </c>
      <c r="B19" s="132" t="s">
        <v>68</v>
      </c>
      <c r="C19" s="133" t="s">
        <v>66</v>
      </c>
      <c r="D19" s="134" t="s">
        <v>2018</v>
      </c>
      <c r="E19" s="135" t="s">
        <v>77</v>
      </c>
      <c r="F19" s="132" t="s">
        <v>79</v>
      </c>
      <c r="G19" s="136" t="s">
        <v>1949</v>
      </c>
      <c r="H19" s="132" t="s">
        <v>14</v>
      </c>
      <c r="I19" s="132" t="s">
        <v>43</v>
      </c>
      <c r="J19" s="132" t="s">
        <v>40</v>
      </c>
      <c r="K19" s="132" t="s">
        <v>46</v>
      </c>
    </row>
    <row r="30" spans="1:11" x14ac:dyDescent="0.25">
      <c r="A30" s="120"/>
    </row>
  </sheetData>
  <sortState xmlns:xlrd2="http://schemas.microsoft.com/office/spreadsheetml/2017/richdata2" ref="A2:G20">
    <sortCondition ref="A2:A20"/>
  </sortState>
  <pageMargins left="0.25" right="0.25" top="0.75" bottom="0.75" header="0.3" footer="0.3"/>
  <pageSetup paperSize="9" scale="25" fitToHeight="0"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A8AA3-28B2-497E-8959-58C084CC4A33}">
  <sheetPr>
    <pageSetUpPr fitToPage="1"/>
  </sheetPr>
  <dimension ref="A1:J47"/>
  <sheetViews>
    <sheetView topLeftCell="F45" zoomScale="62" workbookViewId="0">
      <selection activeCell="B47" sqref="A47:XFD47"/>
    </sheetView>
  </sheetViews>
  <sheetFormatPr defaultRowHeight="15" x14ac:dyDescent="0.25"/>
  <cols>
    <col min="1" max="1" width="34.28515625" style="137" customWidth="1"/>
    <col min="2" max="2" width="41.5703125" style="93" customWidth="1"/>
    <col min="3" max="3" width="50.28515625" style="93" customWidth="1"/>
    <col min="4" max="4" width="50.7109375" style="93" customWidth="1"/>
    <col min="5" max="5" width="62.85546875" style="93" customWidth="1"/>
    <col min="6" max="6" width="59.28515625" style="93" customWidth="1"/>
    <col min="7" max="7" width="52.7109375" style="93" customWidth="1"/>
    <col min="8" max="8" width="46.85546875" style="93" customWidth="1"/>
    <col min="9" max="9" width="50.85546875" style="93" customWidth="1"/>
    <col min="10" max="16384" width="9.140625" style="91"/>
  </cols>
  <sheetData>
    <row r="1" spans="1:9" x14ac:dyDescent="0.25">
      <c r="D1" s="137" t="s">
        <v>98</v>
      </c>
      <c r="E1" s="137"/>
      <c r="F1" s="137"/>
      <c r="G1" s="137" t="s">
        <v>98</v>
      </c>
      <c r="H1" s="137"/>
    </row>
    <row r="2" spans="1:9" s="138" customFormat="1" x14ac:dyDescent="0.25">
      <c r="A2" s="101" t="s">
        <v>0</v>
      </c>
      <c r="B2" s="102" t="s">
        <v>1</v>
      </c>
      <c r="C2" s="102" t="s">
        <v>25</v>
      </c>
      <c r="D2" s="102" t="s">
        <v>86</v>
      </c>
      <c r="E2" s="102" t="s">
        <v>95</v>
      </c>
      <c r="F2" s="102" t="s">
        <v>118</v>
      </c>
      <c r="G2" s="102" t="s">
        <v>24</v>
      </c>
      <c r="H2" s="102" t="s">
        <v>2031</v>
      </c>
      <c r="I2" s="102" t="s">
        <v>104</v>
      </c>
    </row>
    <row r="3" spans="1:9" ht="30" x14ac:dyDescent="0.25">
      <c r="A3" s="119" t="s">
        <v>3</v>
      </c>
      <c r="B3" s="139" t="s">
        <v>85</v>
      </c>
      <c r="C3" s="139" t="s">
        <v>97</v>
      </c>
      <c r="D3" s="140">
        <v>500</v>
      </c>
      <c r="E3" s="139" t="s">
        <v>114</v>
      </c>
      <c r="F3" s="139" t="s">
        <v>110</v>
      </c>
      <c r="G3" s="139" t="s">
        <v>115</v>
      </c>
      <c r="H3" s="139" t="s">
        <v>116</v>
      </c>
      <c r="I3" s="139" t="s">
        <v>105</v>
      </c>
    </row>
    <row r="4" spans="1:9" ht="117" customHeight="1" x14ac:dyDescent="0.25">
      <c r="A4" s="231" t="s">
        <v>4</v>
      </c>
      <c r="B4" s="139" t="s">
        <v>80</v>
      </c>
      <c r="C4" s="139" t="s">
        <v>97</v>
      </c>
      <c r="D4" s="139" t="s">
        <v>109</v>
      </c>
      <c r="E4" s="139" t="s">
        <v>1934</v>
      </c>
      <c r="F4" s="139" t="s">
        <v>110</v>
      </c>
      <c r="G4" s="139" t="s">
        <v>108</v>
      </c>
      <c r="H4" s="139" t="s">
        <v>112</v>
      </c>
      <c r="I4" s="139" t="s">
        <v>105</v>
      </c>
    </row>
    <row r="5" spans="1:9" ht="58.5" customHeight="1" x14ac:dyDescent="0.25">
      <c r="A5" s="231"/>
      <c r="B5" s="139" t="s">
        <v>102</v>
      </c>
      <c r="C5" s="139" t="s">
        <v>97</v>
      </c>
      <c r="D5" s="140">
        <v>5000</v>
      </c>
      <c r="E5" s="139" t="s">
        <v>113</v>
      </c>
      <c r="F5" s="139" t="s">
        <v>103</v>
      </c>
      <c r="G5" s="139" t="s">
        <v>266</v>
      </c>
      <c r="H5" s="139" t="s">
        <v>111</v>
      </c>
      <c r="I5" s="139" t="s">
        <v>105</v>
      </c>
    </row>
    <row r="6" spans="1:9" ht="75" x14ac:dyDescent="0.25">
      <c r="A6" s="231" t="s">
        <v>724</v>
      </c>
      <c r="B6" s="139" t="s">
        <v>50</v>
      </c>
      <c r="C6" s="139" t="s">
        <v>1996</v>
      </c>
      <c r="D6" s="140">
        <v>1000</v>
      </c>
      <c r="E6" s="139" t="s">
        <v>119</v>
      </c>
      <c r="F6" s="139" t="s">
        <v>117</v>
      </c>
      <c r="G6" s="139" t="s">
        <v>120</v>
      </c>
      <c r="H6" s="139" t="s">
        <v>120</v>
      </c>
      <c r="I6" s="139" t="s">
        <v>121</v>
      </c>
    </row>
    <row r="7" spans="1:9" s="142" customFormat="1" ht="30" x14ac:dyDescent="0.25">
      <c r="A7" s="231"/>
      <c r="B7" s="141" t="s">
        <v>82</v>
      </c>
      <c r="C7" s="141" t="s">
        <v>1995</v>
      </c>
      <c r="D7" s="141" t="s">
        <v>2028</v>
      </c>
      <c r="E7" s="141" t="s">
        <v>2027</v>
      </c>
      <c r="F7" s="141" t="s">
        <v>2029</v>
      </c>
      <c r="G7" s="141" t="s">
        <v>532</v>
      </c>
      <c r="H7" s="141" t="s">
        <v>2030</v>
      </c>
      <c r="I7" s="141" t="s">
        <v>101</v>
      </c>
    </row>
    <row r="8" spans="1:9" ht="52.5" customHeight="1" x14ac:dyDescent="0.25">
      <c r="A8" s="231"/>
      <c r="B8" s="139" t="s">
        <v>83</v>
      </c>
      <c r="C8" s="139" t="s">
        <v>161</v>
      </c>
      <c r="D8" s="139" t="s">
        <v>162</v>
      </c>
      <c r="E8" s="139" t="s">
        <v>157</v>
      </c>
      <c r="F8" s="139" t="s">
        <v>159</v>
      </c>
      <c r="G8" s="139" t="s">
        <v>158</v>
      </c>
      <c r="H8" s="139" t="s">
        <v>160</v>
      </c>
      <c r="I8" s="139"/>
    </row>
    <row r="9" spans="1:9" s="144" customFormat="1" x14ac:dyDescent="0.25">
      <c r="A9" s="231"/>
      <c r="B9" s="143" t="s">
        <v>53</v>
      </c>
      <c r="C9" s="141" t="s">
        <v>122</v>
      </c>
      <c r="D9" s="141" t="s">
        <v>122</v>
      </c>
      <c r="E9" s="141" t="s">
        <v>122</v>
      </c>
      <c r="F9" s="141" t="s">
        <v>122</v>
      </c>
      <c r="G9" s="141" t="s">
        <v>122</v>
      </c>
      <c r="H9" s="141" t="s">
        <v>122</v>
      </c>
      <c r="I9" s="141" t="s">
        <v>122</v>
      </c>
    </row>
    <row r="10" spans="1:9" ht="52.5" customHeight="1" x14ac:dyDescent="0.25">
      <c r="A10" s="231"/>
      <c r="B10" s="139" t="s">
        <v>84</v>
      </c>
      <c r="C10" s="139" t="s">
        <v>2000</v>
      </c>
      <c r="D10" s="139" t="s">
        <v>165</v>
      </c>
      <c r="E10" s="139" t="s">
        <v>374</v>
      </c>
      <c r="F10" s="139"/>
      <c r="G10" s="139" t="s">
        <v>233</v>
      </c>
      <c r="H10" s="139" t="s">
        <v>192</v>
      </c>
      <c r="I10" s="139" t="s">
        <v>194</v>
      </c>
    </row>
    <row r="11" spans="1:9" ht="45" customHeight="1" x14ac:dyDescent="0.25">
      <c r="A11" s="119" t="s">
        <v>8</v>
      </c>
      <c r="B11" s="139" t="s">
        <v>87</v>
      </c>
      <c r="C11" s="139" t="s">
        <v>195</v>
      </c>
      <c r="D11" s="139" t="s">
        <v>197</v>
      </c>
      <c r="E11" s="139" t="s">
        <v>196</v>
      </c>
      <c r="F11" s="139" t="s">
        <v>198</v>
      </c>
      <c r="G11" s="139" t="s">
        <v>199</v>
      </c>
      <c r="H11" s="139" t="s">
        <v>200</v>
      </c>
      <c r="I11" s="139" t="s">
        <v>201</v>
      </c>
    </row>
    <row r="12" spans="1:9" s="144" customFormat="1" x14ac:dyDescent="0.25">
      <c r="A12" s="231" t="s">
        <v>7</v>
      </c>
      <c r="B12" s="143" t="s">
        <v>53</v>
      </c>
      <c r="C12" s="143" t="s">
        <v>122</v>
      </c>
      <c r="D12" s="141" t="s">
        <v>122</v>
      </c>
      <c r="E12" s="141" t="s">
        <v>122</v>
      </c>
      <c r="F12" s="143" t="s">
        <v>122</v>
      </c>
      <c r="G12" s="143" t="s">
        <v>122</v>
      </c>
      <c r="H12" s="143" t="s">
        <v>122</v>
      </c>
      <c r="I12" s="143" t="s">
        <v>122</v>
      </c>
    </row>
    <row r="13" spans="1:9" ht="30" x14ac:dyDescent="0.25">
      <c r="A13" s="231"/>
      <c r="B13" s="139" t="s">
        <v>88</v>
      </c>
      <c r="C13" s="139" t="s">
        <v>1998</v>
      </c>
      <c r="D13" s="140">
        <v>3000</v>
      </c>
      <c r="E13" s="139" t="s">
        <v>202</v>
      </c>
      <c r="F13" s="139" t="s">
        <v>203</v>
      </c>
      <c r="G13" s="139" t="s">
        <v>204</v>
      </c>
      <c r="H13" s="139" t="s">
        <v>1950</v>
      </c>
      <c r="I13" s="139" t="s">
        <v>201</v>
      </c>
    </row>
    <row r="14" spans="1:9" ht="85.5" customHeight="1" x14ac:dyDescent="0.25">
      <c r="A14" s="231"/>
      <c r="B14" s="139" t="s">
        <v>89</v>
      </c>
      <c r="C14" s="139" t="s">
        <v>1999</v>
      </c>
      <c r="D14" s="139" t="s">
        <v>324</v>
      </c>
      <c r="E14" s="139" t="s">
        <v>325</v>
      </c>
      <c r="F14" s="139" t="s">
        <v>326</v>
      </c>
      <c r="G14" s="139" t="s">
        <v>353</v>
      </c>
      <c r="H14" s="139" t="s">
        <v>354</v>
      </c>
      <c r="I14" s="139" t="s">
        <v>355</v>
      </c>
    </row>
    <row r="15" spans="1:9" ht="30" x14ac:dyDescent="0.25">
      <c r="A15" s="231" t="s">
        <v>1939</v>
      </c>
      <c r="B15" s="139" t="s">
        <v>85</v>
      </c>
      <c r="C15" s="139" t="s">
        <v>97</v>
      </c>
      <c r="D15" s="140">
        <v>500</v>
      </c>
      <c r="E15" s="139" t="s">
        <v>114</v>
      </c>
      <c r="F15" s="139"/>
      <c r="G15" s="139" t="s">
        <v>115</v>
      </c>
      <c r="H15" s="139" t="s">
        <v>116</v>
      </c>
      <c r="I15" s="139" t="s">
        <v>105</v>
      </c>
    </row>
    <row r="16" spans="1:9" ht="60" x14ac:dyDescent="0.25">
      <c r="A16" s="231"/>
      <c r="B16" s="139" t="s">
        <v>90</v>
      </c>
      <c r="C16" s="139" t="s">
        <v>2012</v>
      </c>
      <c r="D16" s="139" t="s">
        <v>365</v>
      </c>
      <c r="E16" s="139" t="s">
        <v>363</v>
      </c>
      <c r="F16" s="139" t="s">
        <v>364</v>
      </c>
      <c r="G16" s="139" t="s">
        <v>366</v>
      </c>
      <c r="H16" s="139" t="s">
        <v>1950</v>
      </c>
      <c r="I16" s="139" t="s">
        <v>355</v>
      </c>
    </row>
    <row r="17" spans="1:9" ht="52.5" customHeight="1" x14ac:dyDescent="0.25">
      <c r="A17" s="231"/>
      <c r="B17" s="145" t="s">
        <v>94</v>
      </c>
      <c r="C17" s="145" t="s">
        <v>398</v>
      </c>
      <c r="D17" s="145" t="s">
        <v>399</v>
      </c>
      <c r="E17" s="145" t="s">
        <v>388</v>
      </c>
      <c r="F17" s="145" t="s">
        <v>389</v>
      </c>
      <c r="G17" s="145"/>
      <c r="H17" s="145"/>
      <c r="I17" s="145" t="s">
        <v>390</v>
      </c>
    </row>
    <row r="18" spans="1:9" ht="100.5" customHeight="1" x14ac:dyDescent="0.25">
      <c r="A18" s="231" t="s">
        <v>1940</v>
      </c>
      <c r="B18" s="139" t="s">
        <v>80</v>
      </c>
      <c r="C18" s="139" t="s">
        <v>97</v>
      </c>
      <c r="D18" s="139" t="s">
        <v>109</v>
      </c>
      <c r="E18" s="139"/>
      <c r="F18" s="139" t="s">
        <v>110</v>
      </c>
      <c r="G18" s="139" t="s">
        <v>108</v>
      </c>
      <c r="H18" s="139" t="s">
        <v>112</v>
      </c>
      <c r="I18" s="139" t="s">
        <v>105</v>
      </c>
    </row>
    <row r="19" spans="1:9" ht="78" customHeight="1" x14ac:dyDescent="0.25">
      <c r="A19" s="231"/>
      <c r="B19" s="139" t="s">
        <v>102</v>
      </c>
      <c r="C19" s="139" t="s">
        <v>97</v>
      </c>
      <c r="D19" s="140">
        <v>5000</v>
      </c>
      <c r="E19" s="139" t="s">
        <v>113</v>
      </c>
      <c r="F19" s="139" t="s">
        <v>103</v>
      </c>
      <c r="G19" s="139" t="s">
        <v>266</v>
      </c>
      <c r="H19" s="139" t="s">
        <v>111</v>
      </c>
      <c r="I19" s="139" t="s">
        <v>105</v>
      </c>
    </row>
    <row r="20" spans="1:9" ht="88.5" customHeight="1" x14ac:dyDescent="0.25">
      <c r="A20" s="231"/>
      <c r="B20" s="139" t="s">
        <v>90</v>
      </c>
      <c r="C20" s="139" t="s">
        <v>2012</v>
      </c>
      <c r="D20" s="139" t="s">
        <v>365</v>
      </c>
      <c r="E20" s="139" t="s">
        <v>367</v>
      </c>
      <c r="F20" s="139" t="s">
        <v>364</v>
      </c>
      <c r="G20" s="139" t="s">
        <v>366</v>
      </c>
      <c r="H20" s="139" t="s">
        <v>1957</v>
      </c>
      <c r="I20" s="139" t="s">
        <v>355</v>
      </c>
    </row>
    <row r="21" spans="1:9" ht="58.5" customHeight="1" x14ac:dyDescent="0.25">
      <c r="A21" s="231"/>
      <c r="B21" s="145" t="s">
        <v>94</v>
      </c>
      <c r="C21" s="145" t="s">
        <v>398</v>
      </c>
      <c r="D21" s="145" t="s">
        <v>399</v>
      </c>
      <c r="E21" s="145" t="s">
        <v>388</v>
      </c>
      <c r="F21" s="145" t="s">
        <v>389</v>
      </c>
      <c r="G21" s="145"/>
      <c r="H21" s="145"/>
      <c r="I21" s="145" t="s">
        <v>390</v>
      </c>
    </row>
    <row r="22" spans="1:9" s="146" customFormat="1" ht="30" x14ac:dyDescent="0.25">
      <c r="A22" s="231" t="s">
        <v>1941</v>
      </c>
      <c r="B22" s="141" t="s">
        <v>82</v>
      </c>
      <c r="C22" s="141" t="s">
        <v>1995</v>
      </c>
      <c r="D22" s="141" t="s">
        <v>2028</v>
      </c>
      <c r="E22" s="141" t="s">
        <v>2027</v>
      </c>
      <c r="F22" s="141" t="s">
        <v>2029</v>
      </c>
      <c r="G22" s="141" t="s">
        <v>532</v>
      </c>
      <c r="H22" s="141" t="s">
        <v>2030</v>
      </c>
      <c r="I22" s="141" t="s">
        <v>101</v>
      </c>
    </row>
    <row r="23" spans="1:9" ht="124.5" customHeight="1" x14ac:dyDescent="0.25">
      <c r="A23" s="231"/>
      <c r="B23" s="139" t="s">
        <v>91</v>
      </c>
      <c r="C23" s="139" t="s">
        <v>386</v>
      </c>
      <c r="D23" s="139" t="s">
        <v>372</v>
      </c>
      <c r="E23" s="139" t="s">
        <v>373</v>
      </c>
      <c r="F23" s="139" t="s">
        <v>536</v>
      </c>
      <c r="G23" s="139" t="s">
        <v>375</v>
      </c>
      <c r="H23" s="139" t="s">
        <v>1957</v>
      </c>
      <c r="I23" s="139" t="s">
        <v>355</v>
      </c>
    </row>
    <row r="24" spans="1:9" ht="51" customHeight="1" x14ac:dyDescent="0.25">
      <c r="A24" s="231"/>
      <c r="B24" s="139" t="s">
        <v>84</v>
      </c>
      <c r="C24" s="139" t="s">
        <v>193</v>
      </c>
      <c r="D24" s="139" t="s">
        <v>165</v>
      </c>
      <c r="E24" s="139" t="s">
        <v>374</v>
      </c>
      <c r="F24" s="139"/>
      <c r="G24" s="139" t="s">
        <v>1956</v>
      </c>
      <c r="H24" s="139" t="s">
        <v>192</v>
      </c>
      <c r="I24" s="139" t="s">
        <v>194</v>
      </c>
    </row>
    <row r="25" spans="1:9" ht="67.5" customHeight="1" x14ac:dyDescent="0.25">
      <c r="A25" s="231"/>
      <c r="B25" s="139" t="s">
        <v>90</v>
      </c>
      <c r="C25" s="139" t="s">
        <v>2012</v>
      </c>
      <c r="D25" s="139" t="s">
        <v>365</v>
      </c>
      <c r="E25" s="139" t="s">
        <v>367</v>
      </c>
      <c r="F25" s="139" t="s">
        <v>364</v>
      </c>
      <c r="G25" s="139" t="s">
        <v>366</v>
      </c>
      <c r="H25" s="139" t="s">
        <v>1957</v>
      </c>
      <c r="I25" s="139" t="s">
        <v>355</v>
      </c>
    </row>
    <row r="26" spans="1:9" ht="54" customHeight="1" x14ac:dyDescent="0.25">
      <c r="A26" s="231"/>
      <c r="B26" s="145" t="s">
        <v>94</v>
      </c>
      <c r="C26" s="145" t="s">
        <v>398</v>
      </c>
      <c r="D26" s="145" t="s">
        <v>399</v>
      </c>
      <c r="E26" s="145" t="s">
        <v>388</v>
      </c>
      <c r="F26" s="145" t="s">
        <v>389</v>
      </c>
      <c r="G26" s="145"/>
      <c r="H26" s="145"/>
      <c r="I26" s="145" t="s">
        <v>390</v>
      </c>
    </row>
    <row r="27" spans="1:9" ht="70.5" customHeight="1" x14ac:dyDescent="0.25">
      <c r="A27" s="231" t="s">
        <v>1942</v>
      </c>
      <c r="B27" s="139" t="s">
        <v>90</v>
      </c>
      <c r="C27" s="139" t="s">
        <v>2012</v>
      </c>
      <c r="D27" s="139" t="s">
        <v>365</v>
      </c>
      <c r="E27" s="139" t="s">
        <v>367</v>
      </c>
      <c r="F27" s="139" t="s">
        <v>364</v>
      </c>
      <c r="G27" s="139" t="s">
        <v>366</v>
      </c>
      <c r="H27" s="139" t="s">
        <v>1957</v>
      </c>
      <c r="I27" s="139" t="s">
        <v>355</v>
      </c>
    </row>
    <row r="28" spans="1:9" ht="61.5" customHeight="1" x14ac:dyDescent="0.25">
      <c r="A28" s="231"/>
      <c r="B28" s="145" t="s">
        <v>94</v>
      </c>
      <c r="C28" s="145" t="s">
        <v>398</v>
      </c>
      <c r="D28" s="145" t="s">
        <v>399</v>
      </c>
      <c r="E28" s="145" t="s">
        <v>388</v>
      </c>
      <c r="F28" s="145" t="s">
        <v>389</v>
      </c>
      <c r="G28" s="145"/>
      <c r="H28" s="145"/>
      <c r="I28" s="145" t="s">
        <v>390</v>
      </c>
    </row>
    <row r="29" spans="1:9" ht="75" customHeight="1" x14ac:dyDescent="0.25">
      <c r="A29" s="231" t="s">
        <v>1943</v>
      </c>
      <c r="B29" s="139" t="s">
        <v>90</v>
      </c>
      <c r="C29" s="139" t="s">
        <v>2012</v>
      </c>
      <c r="D29" s="139" t="s">
        <v>365</v>
      </c>
      <c r="E29" s="139" t="s">
        <v>368</v>
      </c>
      <c r="F29" s="139" t="s">
        <v>364</v>
      </c>
      <c r="G29" s="139" t="s">
        <v>366</v>
      </c>
      <c r="H29" s="139" t="s">
        <v>1957</v>
      </c>
      <c r="I29" s="139" t="s">
        <v>355</v>
      </c>
    </row>
    <row r="30" spans="1:9" ht="121.5" customHeight="1" x14ac:dyDescent="0.25">
      <c r="A30" s="231"/>
      <c r="B30" s="139" t="s">
        <v>93</v>
      </c>
      <c r="C30" s="139" t="s">
        <v>386</v>
      </c>
      <c r="D30" s="139" t="s">
        <v>372</v>
      </c>
      <c r="E30" s="139" t="s">
        <v>373</v>
      </c>
      <c r="F30" s="139" t="s">
        <v>536</v>
      </c>
      <c r="G30" s="139" t="s">
        <v>387</v>
      </c>
      <c r="H30" s="139" t="s">
        <v>1957</v>
      </c>
      <c r="I30" s="139" t="s">
        <v>355</v>
      </c>
    </row>
    <row r="31" spans="1:9" ht="55.5" customHeight="1" x14ac:dyDescent="0.25">
      <c r="A31" s="231"/>
      <c r="B31" s="145" t="s">
        <v>94</v>
      </c>
      <c r="C31" s="145" t="s">
        <v>398</v>
      </c>
      <c r="D31" s="145" t="s">
        <v>399</v>
      </c>
      <c r="E31" s="145" t="s">
        <v>388</v>
      </c>
      <c r="F31" s="145" t="s">
        <v>389</v>
      </c>
      <c r="G31" s="145"/>
      <c r="H31" s="145"/>
      <c r="I31" s="145" t="s">
        <v>390</v>
      </c>
    </row>
    <row r="32" spans="1:9" ht="66" customHeight="1" x14ac:dyDescent="0.25">
      <c r="A32" s="231" t="s">
        <v>1944</v>
      </c>
      <c r="B32" s="139" t="s">
        <v>90</v>
      </c>
      <c r="C32" s="139" t="s">
        <v>2012</v>
      </c>
      <c r="D32" s="139" t="s">
        <v>365</v>
      </c>
      <c r="E32" s="139" t="s">
        <v>368</v>
      </c>
      <c r="F32" s="139" t="s">
        <v>364</v>
      </c>
      <c r="G32" s="139" t="s">
        <v>366</v>
      </c>
      <c r="H32" s="139" t="s">
        <v>1957</v>
      </c>
      <c r="I32" s="139" t="s">
        <v>355</v>
      </c>
    </row>
    <row r="33" spans="1:10" ht="54" customHeight="1" x14ac:dyDescent="0.25">
      <c r="A33" s="231"/>
      <c r="B33" s="145" t="s">
        <v>94</v>
      </c>
      <c r="C33" s="145" t="s">
        <v>2014</v>
      </c>
      <c r="D33" s="145" t="s">
        <v>399</v>
      </c>
      <c r="E33" s="145" t="s">
        <v>388</v>
      </c>
      <c r="F33" s="145" t="s">
        <v>389</v>
      </c>
      <c r="G33" s="145"/>
      <c r="H33" s="145"/>
      <c r="I33" s="145" t="s">
        <v>390</v>
      </c>
      <c r="J33" s="147"/>
    </row>
    <row r="34" spans="1:10" ht="72" customHeight="1" x14ac:dyDescent="0.25">
      <c r="A34" s="231" t="s">
        <v>1945</v>
      </c>
      <c r="B34" s="139" t="s">
        <v>90</v>
      </c>
      <c r="C34" s="139" t="s">
        <v>2012</v>
      </c>
      <c r="D34" s="139" t="s">
        <v>365</v>
      </c>
      <c r="E34" s="139" t="s">
        <v>368</v>
      </c>
      <c r="F34" s="139" t="s">
        <v>364</v>
      </c>
      <c r="G34" s="139" t="s">
        <v>366</v>
      </c>
      <c r="H34" s="139" t="s">
        <v>1957</v>
      </c>
      <c r="I34" s="139" t="s">
        <v>355</v>
      </c>
    </row>
    <row r="35" spans="1:10" ht="49.5" customHeight="1" x14ac:dyDescent="0.25">
      <c r="A35" s="231"/>
      <c r="B35" s="139" t="s">
        <v>88</v>
      </c>
      <c r="C35" s="139" t="s">
        <v>2013</v>
      </c>
      <c r="D35" s="140">
        <v>3000</v>
      </c>
      <c r="E35" s="139" t="s">
        <v>202</v>
      </c>
      <c r="F35" s="139" t="s">
        <v>203</v>
      </c>
      <c r="G35" s="139" t="s">
        <v>204</v>
      </c>
      <c r="H35" s="139" t="s">
        <v>1957</v>
      </c>
      <c r="I35" s="139" t="s">
        <v>201</v>
      </c>
    </row>
    <row r="36" spans="1:10" x14ac:dyDescent="0.25">
      <c r="A36" s="231"/>
      <c r="B36" s="139" t="s">
        <v>53</v>
      </c>
      <c r="C36" s="143" t="s">
        <v>122</v>
      </c>
      <c r="D36" s="141" t="s">
        <v>122</v>
      </c>
      <c r="E36" s="141" t="s">
        <v>122</v>
      </c>
      <c r="F36" s="143" t="s">
        <v>122</v>
      </c>
      <c r="G36" s="143" t="s">
        <v>122</v>
      </c>
      <c r="H36" s="143" t="s">
        <v>122</v>
      </c>
      <c r="I36" s="143" t="s">
        <v>122</v>
      </c>
    </row>
    <row r="37" spans="1:10" s="147" customFormat="1" ht="52.5" customHeight="1" x14ac:dyDescent="0.25">
      <c r="A37" s="231"/>
      <c r="B37" s="145" t="s">
        <v>94</v>
      </c>
      <c r="C37" s="145" t="s">
        <v>398</v>
      </c>
      <c r="D37" s="145" t="s">
        <v>399</v>
      </c>
      <c r="E37" s="145" t="s">
        <v>388</v>
      </c>
      <c r="F37" s="145" t="s">
        <v>389</v>
      </c>
      <c r="G37" s="145"/>
      <c r="H37" s="145"/>
      <c r="I37" s="145" t="s">
        <v>390</v>
      </c>
    </row>
    <row r="38" spans="1:10" ht="67.5" customHeight="1" x14ac:dyDescent="0.25">
      <c r="A38" s="231" t="s">
        <v>1946</v>
      </c>
      <c r="B38" s="139" t="s">
        <v>90</v>
      </c>
      <c r="C38" s="139" t="s">
        <v>2012</v>
      </c>
      <c r="D38" s="139" t="s">
        <v>365</v>
      </c>
      <c r="E38" s="139" t="s">
        <v>368</v>
      </c>
      <c r="F38" s="139" t="s">
        <v>364</v>
      </c>
      <c r="G38" s="139" t="s">
        <v>366</v>
      </c>
      <c r="H38" s="139" t="s">
        <v>1957</v>
      </c>
      <c r="I38" s="139" t="s">
        <v>355</v>
      </c>
    </row>
    <row r="39" spans="1:10" ht="63" customHeight="1" x14ac:dyDescent="0.25">
      <c r="A39" s="231"/>
      <c r="B39" s="145" t="s">
        <v>94</v>
      </c>
      <c r="C39" s="145" t="s">
        <v>398</v>
      </c>
      <c r="D39" s="145" t="s">
        <v>399</v>
      </c>
      <c r="E39" s="145" t="s">
        <v>388</v>
      </c>
      <c r="F39" s="145" t="s">
        <v>389</v>
      </c>
      <c r="G39" s="145"/>
      <c r="H39" s="145"/>
      <c r="I39" s="145" t="s">
        <v>390</v>
      </c>
    </row>
    <row r="40" spans="1:10" ht="30" x14ac:dyDescent="0.25">
      <c r="A40" s="231" t="s">
        <v>1935</v>
      </c>
      <c r="B40" s="141" t="s">
        <v>82</v>
      </c>
      <c r="C40" s="141" t="s">
        <v>1995</v>
      </c>
      <c r="D40" s="141" t="s">
        <v>2028</v>
      </c>
      <c r="E40" s="141" t="s">
        <v>2027</v>
      </c>
      <c r="F40" s="141" t="s">
        <v>2029</v>
      </c>
      <c r="G40" s="141" t="s">
        <v>532</v>
      </c>
      <c r="H40" s="141" t="s">
        <v>2030</v>
      </c>
      <c r="I40" s="141" t="s">
        <v>101</v>
      </c>
    </row>
    <row r="41" spans="1:10" ht="126" customHeight="1" x14ac:dyDescent="0.25">
      <c r="A41" s="231"/>
      <c r="B41" s="139" t="s">
        <v>91</v>
      </c>
      <c r="C41" s="139" t="s">
        <v>386</v>
      </c>
      <c r="D41" s="139" t="s">
        <v>534</v>
      </c>
      <c r="E41" s="139" t="s">
        <v>538</v>
      </c>
      <c r="F41" s="139" t="s">
        <v>536</v>
      </c>
      <c r="G41" s="139" t="s">
        <v>537</v>
      </c>
      <c r="H41" s="139" t="s">
        <v>535</v>
      </c>
      <c r="I41" s="139" t="s">
        <v>201</v>
      </c>
    </row>
    <row r="42" spans="1:10" ht="52.5" customHeight="1" x14ac:dyDescent="0.25">
      <c r="A42" s="231"/>
      <c r="B42" s="139" t="s">
        <v>92</v>
      </c>
      <c r="C42" s="139" t="s">
        <v>193</v>
      </c>
      <c r="D42" s="139" t="s">
        <v>165</v>
      </c>
      <c r="E42" s="139" t="s">
        <v>374</v>
      </c>
      <c r="F42" s="139"/>
      <c r="G42" s="139" t="s">
        <v>233</v>
      </c>
      <c r="H42" s="139" t="s">
        <v>192</v>
      </c>
      <c r="I42" s="139" t="s">
        <v>194</v>
      </c>
    </row>
    <row r="43" spans="1:10" ht="69" customHeight="1" x14ac:dyDescent="0.25">
      <c r="A43" s="119" t="s">
        <v>1936</v>
      </c>
      <c r="B43" s="139" t="s">
        <v>543</v>
      </c>
      <c r="C43" s="139" t="s">
        <v>539</v>
      </c>
      <c r="D43" s="139" t="s">
        <v>540</v>
      </c>
      <c r="E43" s="139" t="s">
        <v>541</v>
      </c>
      <c r="F43" s="139" t="s">
        <v>542</v>
      </c>
      <c r="G43" s="139" t="s">
        <v>544</v>
      </c>
      <c r="H43" s="139" t="s">
        <v>1957</v>
      </c>
      <c r="I43" s="139" t="s">
        <v>201</v>
      </c>
    </row>
    <row r="44" spans="1:10" ht="70.5" customHeight="1" x14ac:dyDescent="0.25">
      <c r="A44" s="231" t="s">
        <v>1937</v>
      </c>
      <c r="B44" s="139" t="s">
        <v>96</v>
      </c>
      <c r="C44" s="139" t="s">
        <v>545</v>
      </c>
      <c r="D44" s="140">
        <v>1000</v>
      </c>
      <c r="E44" s="139" t="s">
        <v>370</v>
      </c>
      <c r="F44" s="139" t="s">
        <v>546</v>
      </c>
      <c r="G44" s="139" t="s">
        <v>547</v>
      </c>
      <c r="H44" s="139" t="s">
        <v>1957</v>
      </c>
      <c r="I44" s="139" t="s">
        <v>201</v>
      </c>
    </row>
    <row r="45" spans="1:10" ht="120" customHeight="1" x14ac:dyDescent="0.25">
      <c r="A45" s="231"/>
      <c r="B45" s="139" t="s">
        <v>93</v>
      </c>
      <c r="C45" s="139" t="s">
        <v>548</v>
      </c>
      <c r="D45" s="139" t="s">
        <v>549</v>
      </c>
      <c r="E45" s="139" t="s">
        <v>538</v>
      </c>
      <c r="F45" s="139" t="s">
        <v>536</v>
      </c>
      <c r="G45" s="139" t="s">
        <v>537</v>
      </c>
      <c r="H45" s="139" t="s">
        <v>535</v>
      </c>
      <c r="I45" s="139" t="s">
        <v>201</v>
      </c>
    </row>
    <row r="46" spans="1:10" ht="64.5" customHeight="1" x14ac:dyDescent="0.25">
      <c r="A46" s="231" t="s">
        <v>1938</v>
      </c>
      <c r="B46" s="139" t="s">
        <v>96</v>
      </c>
      <c r="C46" s="139" t="s">
        <v>545</v>
      </c>
      <c r="D46" s="140">
        <v>1000</v>
      </c>
      <c r="E46" s="139" t="s">
        <v>369</v>
      </c>
      <c r="F46" s="139" t="s">
        <v>546</v>
      </c>
      <c r="G46" s="139" t="s">
        <v>547</v>
      </c>
      <c r="H46" s="139" t="s">
        <v>1957</v>
      </c>
      <c r="I46" s="139" t="s">
        <v>201</v>
      </c>
    </row>
    <row r="47" spans="1:10" ht="30" x14ac:dyDescent="0.25">
      <c r="A47" s="231"/>
      <c r="B47" s="141" t="s">
        <v>82</v>
      </c>
      <c r="C47" s="141" t="s">
        <v>1995</v>
      </c>
      <c r="D47" s="141" t="s">
        <v>2028</v>
      </c>
      <c r="E47" s="141" t="s">
        <v>2027</v>
      </c>
      <c r="F47" s="141" t="s">
        <v>2029</v>
      </c>
      <c r="G47" s="141" t="s">
        <v>532</v>
      </c>
      <c r="H47" s="141" t="s">
        <v>2030</v>
      </c>
      <c r="I47" s="141" t="s">
        <v>101</v>
      </c>
    </row>
  </sheetData>
  <mergeCells count="14">
    <mergeCell ref="A44:A45"/>
    <mergeCell ref="A46:A47"/>
    <mergeCell ref="A32:A33"/>
    <mergeCell ref="A34:A37"/>
    <mergeCell ref="A40:A42"/>
    <mergeCell ref="A38:A39"/>
    <mergeCell ref="A4:A5"/>
    <mergeCell ref="A6:A10"/>
    <mergeCell ref="A12:A14"/>
    <mergeCell ref="A15:A17"/>
    <mergeCell ref="A29:A31"/>
    <mergeCell ref="A27:A28"/>
    <mergeCell ref="A22:A26"/>
    <mergeCell ref="A18:A21"/>
  </mergeCells>
  <pageMargins left="0.25" right="0.25" top="0.75" bottom="0.75" header="0.3" footer="0.3"/>
  <pageSetup paperSize="9" scale="31" fitToHeight="0"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C00E8-6304-4F5F-B951-EC4F9F94F1F0}">
  <dimension ref="A1:K8"/>
  <sheetViews>
    <sheetView topLeftCell="A2" zoomScale="77" workbookViewId="0">
      <selection activeCell="H4" sqref="H4"/>
    </sheetView>
  </sheetViews>
  <sheetFormatPr defaultRowHeight="111.75" customHeight="1" x14ac:dyDescent="0.25"/>
  <cols>
    <col min="1" max="4" width="21.85546875" customWidth="1"/>
    <col min="5" max="5" width="21.140625" customWidth="1"/>
    <col min="6" max="7" width="21.85546875" customWidth="1"/>
    <col min="8" max="10" width="21.140625" customWidth="1"/>
    <col min="11" max="11" width="17" customWidth="1"/>
  </cols>
  <sheetData>
    <row r="1" spans="1:11" s="1" customFormat="1" ht="111.75" customHeight="1" x14ac:dyDescent="0.25">
      <c r="A1" s="200" t="s">
        <v>2497</v>
      </c>
      <c r="B1" s="200" t="s">
        <v>2498</v>
      </c>
      <c r="C1" s="200" t="s">
        <v>2499</v>
      </c>
      <c r="D1" s="200" t="s">
        <v>2500</v>
      </c>
      <c r="E1" s="200" t="s">
        <v>2504</v>
      </c>
      <c r="F1" s="200" t="s">
        <v>2501</v>
      </c>
      <c r="G1" s="200" t="s">
        <v>45</v>
      </c>
      <c r="H1" s="200" t="s">
        <v>2502</v>
      </c>
      <c r="I1" s="200" t="s">
        <v>2503</v>
      </c>
      <c r="J1" s="200" t="s">
        <v>2505</v>
      </c>
      <c r="K1" s="200" t="s">
        <v>2605</v>
      </c>
    </row>
    <row r="2" spans="1:11" ht="111.75" customHeight="1" x14ac:dyDescent="0.25">
      <c r="A2" s="37" t="s">
        <v>2506</v>
      </c>
      <c r="B2" s="37" t="s">
        <v>2507</v>
      </c>
      <c r="C2" s="37" t="s">
        <v>2508</v>
      </c>
      <c r="D2" s="37" t="s">
        <v>2509</v>
      </c>
      <c r="E2" s="37" t="s">
        <v>2514</v>
      </c>
      <c r="F2" s="37" t="s">
        <v>2510</v>
      </c>
      <c r="G2" s="37" t="s">
        <v>2511</v>
      </c>
      <c r="H2" s="37" t="s">
        <v>2512</v>
      </c>
      <c r="I2" s="37" t="s">
        <v>2513</v>
      </c>
      <c r="J2" s="37" t="s">
        <v>2515</v>
      </c>
      <c r="K2" s="37" t="s">
        <v>101</v>
      </c>
    </row>
    <row r="3" spans="1:11" ht="111.75" customHeight="1" x14ac:dyDescent="0.25">
      <c r="A3" s="37" t="s">
        <v>2516</v>
      </c>
      <c r="B3" s="37" t="s">
        <v>2517</v>
      </c>
      <c r="C3" s="37" t="s">
        <v>2518</v>
      </c>
      <c r="D3" s="37" t="s">
        <v>2509</v>
      </c>
      <c r="E3" s="199" t="s">
        <v>2606</v>
      </c>
      <c r="F3" s="37" t="s">
        <v>2519</v>
      </c>
      <c r="G3" s="37" t="s">
        <v>2520</v>
      </c>
      <c r="H3" s="37" t="s">
        <v>2607</v>
      </c>
      <c r="I3" s="37" t="s">
        <v>2513</v>
      </c>
      <c r="J3" s="37" t="s">
        <v>2608</v>
      </c>
      <c r="K3" s="37" t="s">
        <v>101</v>
      </c>
    </row>
    <row r="4" spans="1:11" ht="111.75" customHeight="1" x14ac:dyDescent="0.25">
      <c r="A4" s="37" t="s">
        <v>2521</v>
      </c>
      <c r="B4" s="37" t="s">
        <v>2522</v>
      </c>
      <c r="C4" s="37" t="s">
        <v>2523</v>
      </c>
      <c r="D4" s="37" t="s">
        <v>2509</v>
      </c>
      <c r="E4" s="37" t="s">
        <v>2609</v>
      </c>
      <c r="F4" s="37" t="s">
        <v>2524</v>
      </c>
      <c r="G4" s="37" t="s">
        <v>2525</v>
      </c>
      <c r="H4" s="37" t="s">
        <v>2610</v>
      </c>
      <c r="I4" s="37" t="s">
        <v>2513</v>
      </c>
      <c r="J4" s="37" t="s">
        <v>2611</v>
      </c>
      <c r="K4" s="37" t="s">
        <v>101</v>
      </c>
    </row>
    <row r="5" spans="1:11" ht="111.75" customHeight="1" x14ac:dyDescent="0.25">
      <c r="A5" s="37" t="s">
        <v>2526</v>
      </c>
      <c r="B5" s="37" t="s">
        <v>2527</v>
      </c>
      <c r="C5" s="37" t="s">
        <v>2528</v>
      </c>
      <c r="D5" s="37" t="s">
        <v>2509</v>
      </c>
      <c r="E5" s="37" t="s">
        <v>2612</v>
      </c>
      <c r="F5" s="37" t="s">
        <v>2529</v>
      </c>
      <c r="G5" s="37" t="s">
        <v>2530</v>
      </c>
      <c r="H5" s="37" t="s">
        <v>2613</v>
      </c>
      <c r="I5" s="37" t="s">
        <v>2513</v>
      </c>
      <c r="J5" s="37" t="s">
        <v>2614</v>
      </c>
      <c r="K5" s="37" t="s">
        <v>101</v>
      </c>
    </row>
    <row r="6" spans="1:11" ht="111.75" customHeight="1" x14ac:dyDescent="0.25">
      <c r="A6" s="37" t="s">
        <v>2531</v>
      </c>
      <c r="B6" s="37" t="s">
        <v>2532</v>
      </c>
      <c r="C6" s="37" t="s">
        <v>2533</v>
      </c>
      <c r="D6" s="37" t="s">
        <v>2509</v>
      </c>
      <c r="E6" s="37" t="s">
        <v>2615</v>
      </c>
      <c r="F6" s="37" t="s">
        <v>2534</v>
      </c>
      <c r="G6" s="37" t="s">
        <v>2535</v>
      </c>
      <c r="H6" s="37" t="s">
        <v>2616</v>
      </c>
      <c r="I6" s="37" t="s">
        <v>2513</v>
      </c>
      <c r="J6" s="37" t="s">
        <v>2617</v>
      </c>
      <c r="K6" s="37" t="s">
        <v>101</v>
      </c>
    </row>
    <row r="7" spans="1:11" ht="111.75" customHeight="1" x14ac:dyDescent="0.25">
      <c r="A7" s="37" t="s">
        <v>2536</v>
      </c>
      <c r="B7" s="37" t="s">
        <v>2537</v>
      </c>
      <c r="C7" s="37" t="s">
        <v>2538</v>
      </c>
      <c r="D7" s="37" t="s">
        <v>2509</v>
      </c>
      <c r="E7" s="37" t="s">
        <v>2618</v>
      </c>
      <c r="F7" s="37" t="s">
        <v>2539</v>
      </c>
      <c r="G7" s="37" t="s">
        <v>2540</v>
      </c>
      <c r="H7" s="37" t="s">
        <v>2619</v>
      </c>
      <c r="I7" s="37" t="s">
        <v>2513</v>
      </c>
      <c r="J7" s="37" t="s">
        <v>2620</v>
      </c>
      <c r="K7" s="37" t="s">
        <v>101</v>
      </c>
    </row>
    <row r="8" spans="1:11" ht="111.75" customHeight="1" x14ac:dyDescent="0.25">
      <c r="A8" s="37" t="s">
        <v>2541</v>
      </c>
      <c r="B8" s="37" t="s">
        <v>2542</v>
      </c>
      <c r="C8" s="37" t="s">
        <v>2543</v>
      </c>
      <c r="D8" s="37" t="s">
        <v>2509</v>
      </c>
      <c r="E8" s="37" t="s">
        <v>2621</v>
      </c>
      <c r="F8" s="37" t="s">
        <v>2544</v>
      </c>
      <c r="G8" s="37" t="s">
        <v>2545</v>
      </c>
      <c r="H8" s="37" t="s">
        <v>2622</v>
      </c>
      <c r="I8" s="37" t="s">
        <v>2513</v>
      </c>
      <c r="J8" s="37" t="s">
        <v>2623</v>
      </c>
      <c r="K8" s="37" t="s">
        <v>101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5E242-DFC8-4168-9696-BBA94140300A}">
  <sheetPr>
    <pageSetUpPr fitToPage="1"/>
  </sheetPr>
  <dimension ref="A1:I119"/>
  <sheetViews>
    <sheetView zoomScale="80" zoomScaleNormal="70" workbookViewId="0">
      <selection activeCell="B12" sqref="B12"/>
    </sheetView>
  </sheetViews>
  <sheetFormatPr defaultRowHeight="15" x14ac:dyDescent="0.25"/>
  <cols>
    <col min="1" max="1" width="38" bestFit="1" customWidth="1"/>
    <col min="2" max="2" width="78" customWidth="1"/>
    <col min="3" max="3" width="26.42578125" customWidth="1"/>
    <col min="4" max="4" width="34.85546875" style="116" customWidth="1"/>
    <col min="5" max="5" width="36.42578125" style="116" customWidth="1"/>
    <col min="6" max="6" width="33.28515625" style="116" customWidth="1"/>
    <col min="7" max="8" width="99.140625" style="116" customWidth="1"/>
  </cols>
  <sheetData>
    <row r="1" spans="1:8" x14ac:dyDescent="0.25">
      <c r="A1" s="201" t="s">
        <v>130</v>
      </c>
      <c r="B1" s="201" t="s">
        <v>25</v>
      </c>
      <c r="C1" s="1"/>
      <c r="D1" s="117"/>
      <c r="E1" s="117"/>
      <c r="F1" s="117"/>
      <c r="G1" s="117"/>
    </row>
    <row r="2" spans="1:8" x14ac:dyDescent="0.25">
      <c r="A2" s="128" t="s">
        <v>82</v>
      </c>
      <c r="B2" s="128" t="s">
        <v>1995</v>
      </c>
    </row>
    <row r="3" spans="1:8" x14ac:dyDescent="0.25">
      <c r="A3" s="128" t="s">
        <v>123</v>
      </c>
      <c r="B3" s="128" t="s">
        <v>127</v>
      </c>
    </row>
    <row r="4" spans="1:8" x14ac:dyDescent="0.25">
      <c r="A4" s="128" t="s">
        <v>124</v>
      </c>
      <c r="B4" s="128" t="s">
        <v>2023</v>
      </c>
    </row>
    <row r="5" spans="1:8" x14ac:dyDescent="0.25">
      <c r="A5" s="128" t="s">
        <v>125</v>
      </c>
      <c r="B5" s="128" t="s">
        <v>2024</v>
      </c>
    </row>
    <row r="6" spans="1:8" x14ac:dyDescent="0.25">
      <c r="A6" s="128" t="s">
        <v>126</v>
      </c>
      <c r="B6" s="128" t="s">
        <v>2025</v>
      </c>
    </row>
    <row r="7" spans="1:8" x14ac:dyDescent="0.25">
      <c r="A7" s="128" t="s">
        <v>153</v>
      </c>
      <c r="B7" s="128" t="s">
        <v>128</v>
      </c>
    </row>
    <row r="8" spans="1:8" s="6" customFormat="1" x14ac:dyDescent="0.25">
      <c r="A8"/>
      <c r="B8"/>
      <c r="D8" s="151"/>
      <c r="E8" s="151"/>
      <c r="F8" s="151"/>
      <c r="G8" s="151"/>
      <c r="H8" s="151"/>
    </row>
    <row r="9" spans="1:8" x14ac:dyDescent="0.25">
      <c r="A9" s="6" t="s">
        <v>154</v>
      </c>
      <c r="B9" s="6" t="s">
        <v>155</v>
      </c>
    </row>
    <row r="10" spans="1:8" x14ac:dyDescent="0.25">
      <c r="B10" s="6" t="s">
        <v>156</v>
      </c>
    </row>
    <row r="12" spans="1:8" ht="15.75" x14ac:dyDescent="0.25">
      <c r="A12" s="90" t="s">
        <v>376</v>
      </c>
      <c r="C12" s="1"/>
    </row>
    <row r="13" spans="1:8" x14ac:dyDescent="0.25">
      <c r="A13" s="40" t="s">
        <v>294</v>
      </c>
      <c r="B13" s="40" t="s">
        <v>3349</v>
      </c>
      <c r="C13" s="40" t="s">
        <v>3350</v>
      </c>
      <c r="D13" s="40" t="s">
        <v>45</v>
      </c>
      <c r="E13" s="117" t="s">
        <v>3381</v>
      </c>
    </row>
    <row r="14" spans="1:8" ht="30" x14ac:dyDescent="0.25">
      <c r="A14" s="37" t="s">
        <v>3382</v>
      </c>
      <c r="B14" s="37" t="s">
        <v>2443</v>
      </c>
      <c r="C14" s="37" t="s">
        <v>1965</v>
      </c>
      <c r="D14" s="37" t="s">
        <v>3383</v>
      </c>
      <c r="E14" s="116" t="s">
        <v>3384</v>
      </c>
    </row>
    <row r="15" spans="1:8" ht="45" x14ac:dyDescent="0.25">
      <c r="A15" s="37" t="s">
        <v>3385</v>
      </c>
      <c r="B15" s="37" t="s">
        <v>2443</v>
      </c>
      <c r="C15" s="37" t="s">
        <v>3386</v>
      </c>
      <c r="D15" s="37" t="s">
        <v>3387</v>
      </c>
      <c r="E15" s="116" t="s">
        <v>3388</v>
      </c>
    </row>
    <row r="16" spans="1:8" ht="45" x14ac:dyDescent="0.25">
      <c r="A16" s="37" t="s">
        <v>3389</v>
      </c>
      <c r="B16" s="37" t="s">
        <v>2443</v>
      </c>
      <c r="C16" s="37" t="s">
        <v>3386</v>
      </c>
      <c r="D16" s="37" t="s">
        <v>3387</v>
      </c>
      <c r="E16" s="116" t="s">
        <v>3390</v>
      </c>
    </row>
    <row r="17" spans="1:5" ht="45" x14ac:dyDescent="0.25">
      <c r="A17" s="37" t="s">
        <v>3391</v>
      </c>
      <c r="B17" s="37" t="s">
        <v>2443</v>
      </c>
      <c r="C17" s="37" t="s">
        <v>1984</v>
      </c>
      <c r="D17" s="37" t="s">
        <v>3387</v>
      </c>
      <c r="E17" s="116" t="s">
        <v>3392</v>
      </c>
    </row>
    <row r="18" spans="1:5" ht="45" x14ac:dyDescent="0.25">
      <c r="A18" s="37" t="s">
        <v>3393</v>
      </c>
      <c r="B18" s="37" t="s">
        <v>2443</v>
      </c>
      <c r="C18" s="37" t="s">
        <v>385</v>
      </c>
      <c r="D18" s="37" t="s">
        <v>3387</v>
      </c>
      <c r="E18" s="116" t="s">
        <v>3394</v>
      </c>
    </row>
    <row r="19" spans="1:5" ht="42.75" x14ac:dyDescent="0.25">
      <c r="A19" s="37" t="s">
        <v>3395</v>
      </c>
      <c r="B19" s="37" t="s">
        <v>101</v>
      </c>
      <c r="C19" s="37" t="s">
        <v>1965</v>
      </c>
      <c r="D19" s="37" t="s">
        <v>3396</v>
      </c>
      <c r="E19" s="116" t="s">
        <v>3384</v>
      </c>
    </row>
    <row r="20" spans="1:5" ht="45" x14ac:dyDescent="0.25">
      <c r="A20" s="37" t="s">
        <v>3397</v>
      </c>
      <c r="B20" s="37" t="s">
        <v>101</v>
      </c>
      <c r="C20" s="37" t="s">
        <v>3386</v>
      </c>
      <c r="D20" s="37" t="s">
        <v>3398</v>
      </c>
      <c r="E20" s="116" t="s">
        <v>3388</v>
      </c>
    </row>
    <row r="21" spans="1:5" ht="45" x14ac:dyDescent="0.25">
      <c r="A21" s="37" t="s">
        <v>3399</v>
      </c>
      <c r="B21" s="37" t="s">
        <v>101</v>
      </c>
      <c r="C21" s="37" t="s">
        <v>3386</v>
      </c>
      <c r="D21" s="37" t="s">
        <v>3398</v>
      </c>
      <c r="E21" s="116" t="s">
        <v>3388</v>
      </c>
    </row>
    <row r="22" spans="1:5" ht="45" x14ac:dyDescent="0.25">
      <c r="A22" s="37" t="s">
        <v>3400</v>
      </c>
      <c r="B22" s="37" t="s">
        <v>101</v>
      </c>
      <c r="C22" s="37" t="s">
        <v>1984</v>
      </c>
      <c r="D22" s="37" t="s">
        <v>3401</v>
      </c>
      <c r="E22" s="116" t="s">
        <v>3402</v>
      </c>
    </row>
    <row r="23" spans="1:5" ht="45" x14ac:dyDescent="0.25">
      <c r="A23" s="37" t="s">
        <v>3403</v>
      </c>
      <c r="B23" s="37" t="s">
        <v>101</v>
      </c>
      <c r="C23" s="37" t="s">
        <v>385</v>
      </c>
      <c r="D23" s="37" t="s">
        <v>3396</v>
      </c>
      <c r="E23" s="116" t="s">
        <v>3394</v>
      </c>
    </row>
    <row r="24" spans="1:5" ht="45" x14ac:dyDescent="0.25">
      <c r="A24" s="37" t="s">
        <v>132</v>
      </c>
      <c r="B24" s="37" t="s">
        <v>101</v>
      </c>
      <c r="C24" s="37" t="s">
        <v>709</v>
      </c>
      <c r="D24" s="37" t="s">
        <v>3404</v>
      </c>
      <c r="E24" s="116" t="s">
        <v>3390</v>
      </c>
    </row>
    <row r="25" spans="1:5" ht="45" x14ac:dyDescent="0.25">
      <c r="A25" s="37" t="s">
        <v>133</v>
      </c>
      <c r="B25" s="37" t="s">
        <v>101</v>
      </c>
      <c r="C25" s="37" t="s">
        <v>709</v>
      </c>
      <c r="D25" s="37" t="s">
        <v>3404</v>
      </c>
      <c r="E25" s="116" t="s">
        <v>3390</v>
      </c>
    </row>
    <row r="26" spans="1:5" ht="45" x14ac:dyDescent="0.25">
      <c r="A26" s="37" t="s">
        <v>134</v>
      </c>
      <c r="B26" s="37" t="s">
        <v>101</v>
      </c>
      <c r="C26" s="37" t="s">
        <v>709</v>
      </c>
      <c r="D26" s="37" t="s">
        <v>3405</v>
      </c>
      <c r="E26" s="116" t="s">
        <v>3390</v>
      </c>
    </row>
    <row r="27" spans="1:5" ht="45" x14ac:dyDescent="0.25">
      <c r="A27" s="37" t="s">
        <v>135</v>
      </c>
      <c r="B27" s="37" t="s">
        <v>101</v>
      </c>
      <c r="C27" s="37" t="s">
        <v>709</v>
      </c>
      <c r="D27" s="37" t="s">
        <v>3406</v>
      </c>
      <c r="E27" s="116" t="s">
        <v>3390</v>
      </c>
    </row>
    <row r="28" spans="1:5" ht="45" x14ac:dyDescent="0.25">
      <c r="A28" s="37" t="s">
        <v>136</v>
      </c>
      <c r="B28" s="37" t="s">
        <v>101</v>
      </c>
      <c r="C28" s="37" t="s">
        <v>709</v>
      </c>
      <c r="D28" s="37" t="s">
        <v>3407</v>
      </c>
      <c r="E28" s="116" t="s">
        <v>3390</v>
      </c>
    </row>
    <row r="29" spans="1:5" ht="45" x14ac:dyDescent="0.25">
      <c r="A29" s="37" t="s">
        <v>137</v>
      </c>
      <c r="B29" s="37" t="s">
        <v>101</v>
      </c>
      <c r="C29" s="37" t="s">
        <v>709</v>
      </c>
      <c r="D29" s="37" t="s">
        <v>3361</v>
      </c>
      <c r="E29" s="116" t="s">
        <v>3390</v>
      </c>
    </row>
    <row r="30" spans="1:5" ht="45" x14ac:dyDescent="0.25">
      <c r="A30" s="37" t="s">
        <v>138</v>
      </c>
      <c r="B30" s="37" t="s">
        <v>101</v>
      </c>
      <c r="C30" s="37" t="s">
        <v>709</v>
      </c>
      <c r="D30" s="37" t="s">
        <v>3408</v>
      </c>
      <c r="E30" s="116" t="s">
        <v>3390</v>
      </c>
    </row>
    <row r="31" spans="1:5" ht="45" x14ac:dyDescent="0.25">
      <c r="A31" s="37" t="s">
        <v>139</v>
      </c>
      <c r="B31" s="37" t="s">
        <v>101</v>
      </c>
      <c r="C31" s="37" t="s">
        <v>709</v>
      </c>
      <c r="D31" s="37" t="s">
        <v>3409</v>
      </c>
      <c r="E31" s="116" t="s">
        <v>3390</v>
      </c>
    </row>
    <row r="32" spans="1:5" ht="45" x14ac:dyDescent="0.25">
      <c r="A32" s="37" t="s">
        <v>140</v>
      </c>
      <c r="B32" s="37" t="s">
        <v>101</v>
      </c>
      <c r="C32" s="37" t="s">
        <v>709</v>
      </c>
      <c r="D32" s="37" t="s">
        <v>3410</v>
      </c>
      <c r="E32" s="116" t="s">
        <v>3390</v>
      </c>
    </row>
    <row r="33" spans="1:5" ht="45" x14ac:dyDescent="0.25">
      <c r="A33" s="37" t="s">
        <v>141</v>
      </c>
      <c r="B33" s="37" t="s">
        <v>101</v>
      </c>
      <c r="C33" s="37" t="s">
        <v>709</v>
      </c>
      <c r="D33" s="37" t="s">
        <v>3411</v>
      </c>
      <c r="E33" s="116" t="s">
        <v>3390</v>
      </c>
    </row>
    <row r="34" spans="1:5" ht="45" x14ac:dyDescent="0.25">
      <c r="A34" s="37" t="s">
        <v>142</v>
      </c>
      <c r="B34" s="37" t="s">
        <v>101</v>
      </c>
      <c r="C34" s="37" t="s">
        <v>1984</v>
      </c>
      <c r="D34" s="37" t="s">
        <v>3412</v>
      </c>
      <c r="E34" s="116" t="s">
        <v>3402</v>
      </c>
    </row>
    <row r="35" spans="1:5" ht="45" x14ac:dyDescent="0.25">
      <c r="A35" s="37" t="s">
        <v>3413</v>
      </c>
      <c r="B35" s="37" t="s">
        <v>101</v>
      </c>
      <c r="C35" s="37" t="s">
        <v>1984</v>
      </c>
      <c r="D35" s="37" t="s">
        <v>3352</v>
      </c>
      <c r="E35" s="116" t="s">
        <v>3402</v>
      </c>
    </row>
    <row r="36" spans="1:5" ht="45" x14ac:dyDescent="0.25">
      <c r="A36" s="37" t="s">
        <v>143</v>
      </c>
      <c r="B36" s="37" t="s">
        <v>101</v>
      </c>
      <c r="C36" s="37" t="s">
        <v>1984</v>
      </c>
      <c r="D36" s="37" t="s">
        <v>3352</v>
      </c>
      <c r="E36" s="116" t="s">
        <v>3402</v>
      </c>
    </row>
    <row r="37" spans="1:5" ht="45" x14ac:dyDescent="0.25">
      <c r="A37" s="37" t="s">
        <v>144</v>
      </c>
      <c r="B37" s="37" t="s">
        <v>101</v>
      </c>
      <c r="C37" s="37" t="s">
        <v>1984</v>
      </c>
      <c r="D37" s="37" t="s">
        <v>3414</v>
      </c>
      <c r="E37" s="116" t="s">
        <v>3402</v>
      </c>
    </row>
    <row r="38" spans="1:5" ht="28.5" x14ac:dyDescent="0.25">
      <c r="A38" s="37" t="s">
        <v>145</v>
      </c>
      <c r="B38" s="37" t="s">
        <v>2443</v>
      </c>
      <c r="C38" s="37" t="s">
        <v>3374</v>
      </c>
      <c r="D38" s="37" t="s">
        <v>3415</v>
      </c>
      <c r="E38" s="116" t="s">
        <v>3416</v>
      </c>
    </row>
    <row r="39" spans="1:5" ht="45" x14ac:dyDescent="0.25">
      <c r="A39" s="37" t="s">
        <v>146</v>
      </c>
      <c r="B39" s="37" t="s">
        <v>101</v>
      </c>
      <c r="C39" s="37" t="s">
        <v>709</v>
      </c>
      <c r="D39" s="37" t="s">
        <v>3417</v>
      </c>
      <c r="E39" s="116" t="s">
        <v>3390</v>
      </c>
    </row>
    <row r="40" spans="1:5" ht="45" x14ac:dyDescent="0.25">
      <c r="A40" s="37" t="s">
        <v>147</v>
      </c>
      <c r="B40" s="37" t="s">
        <v>101</v>
      </c>
      <c r="C40" s="37" t="s">
        <v>709</v>
      </c>
      <c r="D40" s="37" t="s">
        <v>3418</v>
      </c>
      <c r="E40" s="116" t="s">
        <v>3390</v>
      </c>
    </row>
    <row r="41" spans="1:5" ht="15" customHeight="1" x14ac:dyDescent="0.25">
      <c r="A41" s="37" t="s">
        <v>148</v>
      </c>
      <c r="B41" s="37" t="s">
        <v>101</v>
      </c>
      <c r="C41" s="37" t="s">
        <v>709</v>
      </c>
      <c r="D41" s="37" t="s">
        <v>3419</v>
      </c>
      <c r="E41" s="116" t="s">
        <v>3390</v>
      </c>
    </row>
    <row r="42" spans="1:5" ht="45" x14ac:dyDescent="0.25">
      <c r="A42" s="37" t="s">
        <v>149</v>
      </c>
      <c r="B42" s="37" t="s">
        <v>101</v>
      </c>
      <c r="C42" s="37" t="s">
        <v>709</v>
      </c>
      <c r="D42" s="37" t="s">
        <v>3420</v>
      </c>
      <c r="E42" s="116" t="s">
        <v>3390</v>
      </c>
    </row>
    <row r="43" spans="1:5" ht="45" x14ac:dyDescent="0.25">
      <c r="A43" s="37" t="s">
        <v>3421</v>
      </c>
      <c r="B43" s="37" t="s">
        <v>101</v>
      </c>
      <c r="C43" s="37" t="s">
        <v>709</v>
      </c>
      <c r="D43" s="37" t="s">
        <v>3422</v>
      </c>
      <c r="E43" s="116" t="s">
        <v>3390</v>
      </c>
    </row>
    <row r="44" spans="1:5" ht="45" x14ac:dyDescent="0.25">
      <c r="A44" s="37" t="s">
        <v>150</v>
      </c>
      <c r="B44" s="37" t="s">
        <v>101</v>
      </c>
      <c r="C44" s="37" t="s">
        <v>709</v>
      </c>
      <c r="D44" s="37" t="s">
        <v>3423</v>
      </c>
      <c r="E44" s="116" t="s">
        <v>3390</v>
      </c>
    </row>
    <row r="45" spans="1:5" ht="45" x14ac:dyDescent="0.25">
      <c r="A45" s="37" t="s">
        <v>151</v>
      </c>
      <c r="B45" s="37" t="s">
        <v>101</v>
      </c>
      <c r="C45" s="37" t="s">
        <v>709</v>
      </c>
      <c r="D45" s="37" t="s">
        <v>3424</v>
      </c>
      <c r="E45" s="116" t="s">
        <v>3390</v>
      </c>
    </row>
    <row r="46" spans="1:5" ht="45" x14ac:dyDescent="0.25">
      <c r="A46" s="37" t="s">
        <v>152</v>
      </c>
      <c r="B46" s="37" t="s">
        <v>101</v>
      </c>
      <c r="C46" s="37" t="s">
        <v>709</v>
      </c>
      <c r="D46" s="37" t="s">
        <v>3425</v>
      </c>
      <c r="E46" s="116" t="s">
        <v>3390</v>
      </c>
    </row>
    <row r="50" spans="1:8" ht="15.75" x14ac:dyDescent="0.25">
      <c r="A50" s="90" t="s">
        <v>358</v>
      </c>
      <c r="C50" s="1"/>
    </row>
    <row r="51" spans="1:8" x14ac:dyDescent="0.25">
      <c r="A51" s="1" t="s">
        <v>129</v>
      </c>
      <c r="B51" s="40" t="s">
        <v>3349</v>
      </c>
      <c r="C51" s="40" t="s">
        <v>3350</v>
      </c>
      <c r="D51" s="117" t="s">
        <v>3426</v>
      </c>
      <c r="E51" s="232" t="s">
        <v>2026</v>
      </c>
    </row>
    <row r="52" spans="1:8" s="1" customFormat="1" ht="60" x14ac:dyDescent="0.25">
      <c r="A52" t="s">
        <v>377</v>
      </c>
      <c r="B52" s="37" t="s">
        <v>101</v>
      </c>
      <c r="C52" s="37" t="s">
        <v>709</v>
      </c>
      <c r="D52" s="116" t="s">
        <v>3390</v>
      </c>
      <c r="E52" s="232"/>
      <c r="F52" s="117"/>
      <c r="G52" s="117"/>
      <c r="H52" s="117"/>
    </row>
    <row r="53" spans="1:8" ht="60" x14ac:dyDescent="0.25">
      <c r="A53" t="s">
        <v>378</v>
      </c>
      <c r="B53" s="37" t="s">
        <v>101</v>
      </c>
      <c r="C53" s="37" t="s">
        <v>709</v>
      </c>
      <c r="D53" s="116" t="s">
        <v>3390</v>
      </c>
      <c r="E53" s="232"/>
    </row>
    <row r="54" spans="1:8" ht="60" x14ac:dyDescent="0.25">
      <c r="A54" t="s">
        <v>379</v>
      </c>
      <c r="B54" s="37" t="s">
        <v>101</v>
      </c>
      <c r="C54" s="37" t="s">
        <v>709</v>
      </c>
      <c r="D54" s="116" t="s">
        <v>3390</v>
      </c>
      <c r="E54" s="232"/>
    </row>
    <row r="55" spans="1:8" ht="60" x14ac:dyDescent="0.25">
      <c r="A55" t="s">
        <v>380</v>
      </c>
      <c r="B55" s="37" t="s">
        <v>101</v>
      </c>
      <c r="C55" s="37" t="s">
        <v>709</v>
      </c>
      <c r="D55" s="116" t="s">
        <v>3390</v>
      </c>
      <c r="E55" s="232"/>
    </row>
    <row r="56" spans="1:8" ht="15" customHeight="1" x14ac:dyDescent="0.25">
      <c r="A56" t="s">
        <v>381</v>
      </c>
      <c r="B56" s="37" t="s">
        <v>101</v>
      </c>
      <c r="C56" s="37" t="s">
        <v>709</v>
      </c>
      <c r="D56" s="116" t="s">
        <v>3390</v>
      </c>
      <c r="E56" s="232"/>
    </row>
    <row r="57" spans="1:8" ht="60" x14ac:dyDescent="0.25">
      <c r="A57" t="s">
        <v>382</v>
      </c>
      <c r="B57" s="37" t="s">
        <v>101</v>
      </c>
      <c r="C57" s="37" t="s">
        <v>709</v>
      </c>
      <c r="D57" s="116" t="s">
        <v>3390</v>
      </c>
      <c r="E57" s="232"/>
    </row>
    <row r="58" spans="1:8" ht="60" x14ac:dyDescent="0.25">
      <c r="A58" t="s">
        <v>383</v>
      </c>
      <c r="B58" s="37" t="s">
        <v>101</v>
      </c>
      <c r="C58" s="37" t="s">
        <v>709</v>
      </c>
      <c r="D58" s="116" t="s">
        <v>3390</v>
      </c>
      <c r="E58" s="232"/>
    </row>
    <row r="59" spans="1:8" ht="60" x14ac:dyDescent="0.25">
      <c r="A59" t="s">
        <v>384</v>
      </c>
      <c r="B59" s="37" t="s">
        <v>101</v>
      </c>
      <c r="C59" s="37" t="s">
        <v>709</v>
      </c>
      <c r="D59" s="116" t="s">
        <v>3390</v>
      </c>
      <c r="E59" s="232"/>
    </row>
    <row r="61" spans="1:8" ht="15.75" x14ac:dyDescent="0.25">
      <c r="A61" s="90" t="s">
        <v>356</v>
      </c>
    </row>
    <row r="62" spans="1:8" ht="28.5" x14ac:dyDescent="0.25">
      <c r="A62" s="40" t="s">
        <v>3348</v>
      </c>
      <c r="B62" s="40" t="s">
        <v>3349</v>
      </c>
      <c r="C62" s="40" t="s">
        <v>3350</v>
      </c>
      <c r="D62" s="40" t="s">
        <v>45</v>
      </c>
    </row>
    <row r="63" spans="1:8" ht="45" x14ac:dyDescent="0.25">
      <c r="A63" s="37" t="s">
        <v>3351</v>
      </c>
      <c r="B63" s="37" t="s">
        <v>101</v>
      </c>
      <c r="C63" s="37" t="s">
        <v>1984</v>
      </c>
      <c r="D63" s="37" t="s">
        <v>3352</v>
      </c>
      <c r="E63" s="116" t="s">
        <v>3427</v>
      </c>
    </row>
    <row r="64" spans="1:8" ht="45" x14ac:dyDescent="0.25">
      <c r="A64" s="37" t="s">
        <v>3353</v>
      </c>
      <c r="B64" s="37" t="s">
        <v>101</v>
      </c>
      <c r="C64" s="37" t="s">
        <v>1984</v>
      </c>
      <c r="D64" s="37" t="s">
        <v>3352</v>
      </c>
      <c r="E64" s="116" t="s">
        <v>3427</v>
      </c>
    </row>
    <row r="65" spans="1:5" ht="45" x14ac:dyDescent="0.25">
      <c r="A65" s="37" t="s">
        <v>3354</v>
      </c>
      <c r="B65" s="37" t="s">
        <v>101</v>
      </c>
      <c r="C65" s="37" t="s">
        <v>1984</v>
      </c>
      <c r="D65" s="37" t="s">
        <v>3352</v>
      </c>
      <c r="E65" s="116" t="s">
        <v>3427</v>
      </c>
    </row>
    <row r="66" spans="1:5" ht="45" x14ac:dyDescent="0.25">
      <c r="A66" s="37" t="s">
        <v>3355</v>
      </c>
      <c r="B66" s="37" t="s">
        <v>101</v>
      </c>
      <c r="C66" s="37" t="s">
        <v>1984</v>
      </c>
      <c r="D66" s="37" t="s">
        <v>3352</v>
      </c>
      <c r="E66" s="116" t="s">
        <v>3427</v>
      </c>
    </row>
    <row r="67" spans="1:5" ht="45" x14ac:dyDescent="0.25">
      <c r="A67" s="37" t="s">
        <v>3356</v>
      </c>
      <c r="B67" s="37" t="s">
        <v>101</v>
      </c>
      <c r="C67" s="37" t="s">
        <v>1984</v>
      </c>
      <c r="D67" s="37" t="s">
        <v>3352</v>
      </c>
      <c r="E67" s="116" t="s">
        <v>3427</v>
      </c>
    </row>
    <row r="68" spans="1:5" ht="32.25" customHeight="1" x14ac:dyDescent="0.25">
      <c r="A68" s="37" t="s">
        <v>3357</v>
      </c>
      <c r="B68" s="37" t="s">
        <v>101</v>
      </c>
      <c r="C68" s="37" t="s">
        <v>1984</v>
      </c>
      <c r="D68" s="37" t="s">
        <v>3352</v>
      </c>
      <c r="E68" s="116" t="s">
        <v>3427</v>
      </c>
    </row>
    <row r="69" spans="1:5" ht="45" x14ac:dyDescent="0.25">
      <c r="A69" s="37" t="s">
        <v>3358</v>
      </c>
      <c r="B69" s="37" t="s">
        <v>101</v>
      </c>
      <c r="C69" s="37" t="s">
        <v>709</v>
      </c>
      <c r="D69" s="37" t="s">
        <v>3359</v>
      </c>
      <c r="E69" s="116" t="s">
        <v>3390</v>
      </c>
    </row>
    <row r="70" spans="1:5" ht="45" x14ac:dyDescent="0.25">
      <c r="A70" s="37" t="s">
        <v>3360</v>
      </c>
      <c r="B70" s="37" t="s">
        <v>101</v>
      </c>
      <c r="C70" s="37" t="s">
        <v>709</v>
      </c>
      <c r="D70" s="37" t="s">
        <v>3361</v>
      </c>
      <c r="E70" s="116" t="s">
        <v>3390</v>
      </c>
    </row>
    <row r="71" spans="1:5" ht="45" x14ac:dyDescent="0.25">
      <c r="A71" s="37" t="s">
        <v>3362</v>
      </c>
      <c r="B71" s="37" t="s">
        <v>101</v>
      </c>
      <c r="C71" s="37" t="s">
        <v>709</v>
      </c>
      <c r="D71" s="37" t="s">
        <v>3363</v>
      </c>
      <c r="E71" s="116" t="s">
        <v>3390</v>
      </c>
    </row>
    <row r="72" spans="1:5" ht="45" x14ac:dyDescent="0.25">
      <c r="A72" s="37" t="s">
        <v>3364</v>
      </c>
      <c r="B72" s="37" t="s">
        <v>101</v>
      </c>
      <c r="C72" s="37" t="s">
        <v>709</v>
      </c>
      <c r="D72" s="37" t="s">
        <v>3365</v>
      </c>
      <c r="E72" s="116" t="s">
        <v>3390</v>
      </c>
    </row>
    <row r="73" spans="1:5" ht="45" x14ac:dyDescent="0.25">
      <c r="A73" s="37" t="s">
        <v>3366</v>
      </c>
      <c r="B73" s="37" t="s">
        <v>101</v>
      </c>
      <c r="C73" s="37" t="s">
        <v>709</v>
      </c>
      <c r="D73" s="37" t="s">
        <v>3367</v>
      </c>
      <c r="E73" s="116" t="s">
        <v>3390</v>
      </c>
    </row>
    <row r="74" spans="1:5" ht="45" x14ac:dyDescent="0.25">
      <c r="A74" s="37" t="s">
        <v>3368</v>
      </c>
      <c r="B74" s="37" t="s">
        <v>101</v>
      </c>
      <c r="C74" s="37" t="s">
        <v>1984</v>
      </c>
      <c r="D74" s="37" t="s">
        <v>3369</v>
      </c>
      <c r="E74" s="116" t="s">
        <v>3427</v>
      </c>
    </row>
    <row r="75" spans="1:5" ht="28.5" x14ac:dyDescent="0.25">
      <c r="A75" s="37" t="s">
        <v>3370</v>
      </c>
      <c r="B75" s="37" t="s">
        <v>2443</v>
      </c>
      <c r="C75" s="37" t="s">
        <v>3371</v>
      </c>
      <c r="D75" s="37" t="s">
        <v>3372</v>
      </c>
      <c r="E75" s="116" t="s">
        <v>3416</v>
      </c>
    </row>
    <row r="76" spans="1:5" ht="28.5" x14ac:dyDescent="0.25">
      <c r="A76" s="37" t="s">
        <v>3373</v>
      </c>
      <c r="B76" s="37" t="s">
        <v>2443</v>
      </c>
      <c r="C76" s="37" t="s">
        <v>3374</v>
      </c>
      <c r="D76" s="37" t="s">
        <v>3375</v>
      </c>
      <c r="E76" s="116" t="s">
        <v>3416</v>
      </c>
    </row>
    <row r="77" spans="1:5" x14ac:dyDescent="0.25">
      <c r="A77" s="37" t="s">
        <v>3376</v>
      </c>
      <c r="B77" s="37" t="s">
        <v>2443</v>
      </c>
      <c r="C77" s="37" t="s">
        <v>3377</v>
      </c>
      <c r="D77" s="37" t="s">
        <v>3378</v>
      </c>
      <c r="E77" s="116" t="s">
        <v>33</v>
      </c>
    </row>
    <row r="78" spans="1:5" ht="28.5" x14ac:dyDescent="0.25">
      <c r="A78" s="37" t="s">
        <v>3379</v>
      </c>
      <c r="B78" s="37" t="s">
        <v>2443</v>
      </c>
      <c r="C78" s="37" t="s">
        <v>3377</v>
      </c>
      <c r="D78" s="37" t="s">
        <v>3380</v>
      </c>
      <c r="E78" s="116" t="s">
        <v>33</v>
      </c>
    </row>
    <row r="80" spans="1:5" x14ac:dyDescent="0.25">
      <c r="A80" s="169" t="s">
        <v>1976</v>
      </c>
    </row>
    <row r="81" spans="1:3" x14ac:dyDescent="0.25">
      <c r="A81" s="101" t="s">
        <v>1972</v>
      </c>
      <c r="B81" s="5" t="s">
        <v>1977</v>
      </c>
    </row>
    <row r="82" spans="1:3" x14ac:dyDescent="0.25">
      <c r="A82" s="119" t="s">
        <v>1973</v>
      </c>
      <c r="B82" s="128" t="s">
        <v>1984</v>
      </c>
    </row>
    <row r="83" spans="1:3" x14ac:dyDescent="0.25">
      <c r="A83" s="119">
        <v>0</v>
      </c>
      <c r="B83" s="128" t="s">
        <v>1983</v>
      </c>
    </row>
    <row r="84" spans="1:3" x14ac:dyDescent="0.25">
      <c r="A84" s="119" t="s">
        <v>1980</v>
      </c>
      <c r="B84" s="128" t="s">
        <v>709</v>
      </c>
    </row>
    <row r="85" spans="1:3" x14ac:dyDescent="0.25">
      <c r="A85" s="119" t="s">
        <v>1978</v>
      </c>
      <c r="B85" s="128" t="s">
        <v>1979</v>
      </c>
    </row>
    <row r="86" spans="1:3" x14ac:dyDescent="0.25">
      <c r="A86" s="137"/>
    </row>
    <row r="87" spans="1:3" ht="24" x14ac:dyDescent="0.25">
      <c r="A87" s="103" t="s">
        <v>696</v>
      </c>
    </row>
    <row r="89" spans="1:3" x14ac:dyDescent="0.25">
      <c r="A89" s="101" t="s">
        <v>1</v>
      </c>
      <c r="B89" s="101" t="s">
        <v>212</v>
      </c>
      <c r="C89" s="93"/>
    </row>
    <row r="90" spans="1:3" x14ac:dyDescent="0.25">
      <c r="A90" s="152" t="s">
        <v>697</v>
      </c>
      <c r="B90" s="153">
        <v>1</v>
      </c>
      <c r="C90" s="139"/>
    </row>
    <row r="91" spans="1:3" x14ac:dyDescent="0.25">
      <c r="A91" s="152" t="s">
        <v>698</v>
      </c>
      <c r="B91" s="153">
        <v>1</v>
      </c>
      <c r="C91" s="139"/>
    </row>
    <row r="92" spans="1:3" x14ac:dyDescent="0.25">
      <c r="A92" s="152" t="s">
        <v>699</v>
      </c>
      <c r="B92" s="153">
        <v>0.18</v>
      </c>
      <c r="C92" s="128"/>
    </row>
    <row r="93" spans="1:3" x14ac:dyDescent="0.25">
      <c r="A93" s="152" t="s">
        <v>1981</v>
      </c>
      <c r="B93" s="153">
        <v>0.06</v>
      </c>
      <c r="C93" s="128"/>
    </row>
    <row r="94" spans="1:3" ht="45" x14ac:dyDescent="0.25">
      <c r="A94" s="152" t="s">
        <v>719</v>
      </c>
      <c r="B94" s="154">
        <v>1000000</v>
      </c>
      <c r="C94" s="118" t="s">
        <v>1960</v>
      </c>
    </row>
    <row r="95" spans="1:3" x14ac:dyDescent="0.25">
      <c r="A95" s="102"/>
      <c r="B95" s="7"/>
    </row>
    <row r="97" spans="1:9" x14ac:dyDescent="0.25">
      <c r="A97" s="101" t="s">
        <v>700</v>
      </c>
      <c r="B97" s="101" t="s">
        <v>701</v>
      </c>
      <c r="C97" s="101" t="s">
        <v>702</v>
      </c>
    </row>
    <row r="98" spans="1:9" x14ac:dyDescent="0.25">
      <c r="A98" s="139" t="s">
        <v>703</v>
      </c>
      <c r="B98" s="139" t="s">
        <v>131</v>
      </c>
      <c r="C98" s="139" t="s">
        <v>704</v>
      </c>
    </row>
    <row r="99" spans="1:9" x14ac:dyDescent="0.25">
      <c r="A99" s="139" t="s">
        <v>705</v>
      </c>
      <c r="B99" s="139" t="s">
        <v>680</v>
      </c>
      <c r="C99" s="139" t="s">
        <v>706</v>
      </c>
    </row>
    <row r="100" spans="1:9" x14ac:dyDescent="0.25">
      <c r="A100" s="139" t="s">
        <v>707</v>
      </c>
      <c r="B100" s="139" t="s">
        <v>708</v>
      </c>
      <c r="C100" s="139" t="s">
        <v>709</v>
      </c>
    </row>
    <row r="101" spans="1:9" x14ac:dyDescent="0.25">
      <c r="A101" s="139" t="s">
        <v>710</v>
      </c>
      <c r="B101" s="139" t="s">
        <v>711</v>
      </c>
      <c r="C101" s="139" t="s">
        <v>712</v>
      </c>
    </row>
    <row r="102" spans="1:9" ht="30" x14ac:dyDescent="0.25">
      <c r="A102" s="139" t="s">
        <v>713</v>
      </c>
      <c r="B102" s="139" t="s">
        <v>132</v>
      </c>
      <c r="C102" s="139" t="s">
        <v>1982</v>
      </c>
    </row>
    <row r="103" spans="1:9" ht="30" x14ac:dyDescent="0.25">
      <c r="A103" s="139" t="s">
        <v>714</v>
      </c>
      <c r="B103" s="139" t="s">
        <v>715</v>
      </c>
      <c r="C103" s="139" t="s">
        <v>716</v>
      </c>
    </row>
    <row r="104" spans="1:9" x14ac:dyDescent="0.25">
      <c r="A104" s="139" t="s">
        <v>676</v>
      </c>
      <c r="B104" s="139" t="s">
        <v>717</v>
      </c>
      <c r="C104" s="139" t="s">
        <v>712</v>
      </c>
    </row>
    <row r="105" spans="1:9" x14ac:dyDescent="0.25">
      <c r="A105" s="139" t="s">
        <v>694</v>
      </c>
      <c r="B105" s="139" t="s">
        <v>718</v>
      </c>
      <c r="C105" s="139" t="s">
        <v>712</v>
      </c>
    </row>
    <row r="108" spans="1:9" x14ac:dyDescent="0.25">
      <c r="A108" s="101" t="s">
        <v>677</v>
      </c>
      <c r="B108" s="101" t="s">
        <v>1972</v>
      </c>
      <c r="C108" s="101" t="s">
        <v>678</v>
      </c>
      <c r="D108" s="101" t="s">
        <v>1962</v>
      </c>
      <c r="E108" s="101" t="s">
        <v>1961</v>
      </c>
      <c r="F108" s="101" t="s">
        <v>1964</v>
      </c>
      <c r="I108" s="116"/>
    </row>
    <row r="109" spans="1:9" ht="45" x14ac:dyDescent="0.25">
      <c r="A109" s="139" t="s">
        <v>674</v>
      </c>
      <c r="B109" s="119" t="s">
        <v>1973</v>
      </c>
      <c r="C109" s="139" t="s">
        <v>679</v>
      </c>
      <c r="D109" s="119" t="s">
        <v>1968</v>
      </c>
      <c r="E109" s="119" t="s">
        <v>1969</v>
      </c>
      <c r="F109" s="119" t="s">
        <v>1970</v>
      </c>
      <c r="I109" s="116"/>
    </row>
    <row r="110" spans="1:9" ht="30" x14ac:dyDescent="0.25">
      <c r="A110" s="139" t="s">
        <v>674</v>
      </c>
      <c r="B110" s="119">
        <v>0</v>
      </c>
      <c r="C110" s="139" t="s">
        <v>679</v>
      </c>
      <c r="D110" s="119" t="s">
        <v>1965</v>
      </c>
      <c r="E110" s="119" t="s">
        <v>1971</v>
      </c>
      <c r="F110" s="119" t="s">
        <v>1966</v>
      </c>
      <c r="I110" s="116"/>
    </row>
    <row r="111" spans="1:9" ht="45" x14ac:dyDescent="0.25">
      <c r="A111" s="139" t="s">
        <v>674</v>
      </c>
      <c r="B111" s="119" t="s">
        <v>1974</v>
      </c>
      <c r="C111" s="139" t="s">
        <v>679</v>
      </c>
      <c r="D111" s="119" t="s">
        <v>1963</v>
      </c>
      <c r="E111" s="119" t="s">
        <v>1967</v>
      </c>
      <c r="F111" s="119" t="s">
        <v>1970</v>
      </c>
      <c r="I111" s="116"/>
    </row>
    <row r="112" spans="1:9" ht="64.5" customHeight="1" x14ac:dyDescent="0.25">
      <c r="A112" s="152" t="s">
        <v>681</v>
      </c>
      <c r="B112" s="119" t="s">
        <v>1985</v>
      </c>
      <c r="C112" s="139" t="s">
        <v>682</v>
      </c>
      <c r="D112" s="155" t="s">
        <v>1975</v>
      </c>
      <c r="E112" s="119" t="s">
        <v>1986</v>
      </c>
      <c r="F112" s="119" t="s">
        <v>1987</v>
      </c>
      <c r="I112" s="116"/>
    </row>
    <row r="113" spans="1:9" ht="63" customHeight="1" x14ac:dyDescent="0.25">
      <c r="A113" s="152" t="s">
        <v>675</v>
      </c>
      <c r="B113" s="119" t="s">
        <v>1985</v>
      </c>
      <c r="C113" s="139" t="s">
        <v>683</v>
      </c>
      <c r="D113" s="155" t="s">
        <v>1975</v>
      </c>
      <c r="E113" s="119" t="s">
        <v>1986</v>
      </c>
      <c r="F113" s="119" t="s">
        <v>1987</v>
      </c>
      <c r="I113" s="116"/>
    </row>
    <row r="114" spans="1:9" ht="63" customHeight="1" x14ac:dyDescent="0.25">
      <c r="A114" s="152" t="s">
        <v>684</v>
      </c>
      <c r="B114" s="119" t="s">
        <v>1985</v>
      </c>
      <c r="C114" s="139" t="s">
        <v>685</v>
      </c>
      <c r="D114" s="155" t="s">
        <v>1975</v>
      </c>
      <c r="E114" s="119" t="s">
        <v>1986</v>
      </c>
      <c r="F114" s="119" t="s">
        <v>1987</v>
      </c>
      <c r="I114" s="116"/>
    </row>
    <row r="115" spans="1:9" ht="63" customHeight="1" x14ac:dyDescent="0.25">
      <c r="A115" s="152" t="s">
        <v>686</v>
      </c>
      <c r="B115" s="119" t="s">
        <v>1985</v>
      </c>
      <c r="C115" s="139" t="s">
        <v>687</v>
      </c>
      <c r="D115" s="155" t="s">
        <v>1975</v>
      </c>
      <c r="E115" s="119" t="s">
        <v>1986</v>
      </c>
      <c r="F115" s="119" t="s">
        <v>1987</v>
      </c>
      <c r="I115" s="116"/>
    </row>
    <row r="116" spans="1:9" ht="63" customHeight="1" x14ac:dyDescent="0.25">
      <c r="A116" s="152" t="s">
        <v>688</v>
      </c>
      <c r="B116" s="119" t="s">
        <v>1985</v>
      </c>
      <c r="C116" s="139" t="s">
        <v>689</v>
      </c>
      <c r="D116" s="155" t="s">
        <v>1975</v>
      </c>
      <c r="E116" s="119" t="s">
        <v>1986</v>
      </c>
      <c r="F116" s="119" t="s">
        <v>1987</v>
      </c>
      <c r="I116" s="116"/>
    </row>
    <row r="117" spans="1:9" ht="63" customHeight="1" x14ac:dyDescent="0.25">
      <c r="A117" s="152" t="s">
        <v>690</v>
      </c>
      <c r="B117" s="119" t="s">
        <v>1985</v>
      </c>
      <c r="C117" s="139" t="s">
        <v>691</v>
      </c>
      <c r="D117" s="155" t="s">
        <v>1975</v>
      </c>
      <c r="E117" s="119" t="s">
        <v>1986</v>
      </c>
      <c r="F117" s="119" t="s">
        <v>1987</v>
      </c>
      <c r="I117" s="116"/>
    </row>
    <row r="118" spans="1:9" ht="63" customHeight="1" x14ac:dyDescent="0.25">
      <c r="A118" s="152" t="s">
        <v>692</v>
      </c>
      <c r="B118" s="119" t="s">
        <v>1985</v>
      </c>
      <c r="C118" s="139" t="s">
        <v>693</v>
      </c>
      <c r="D118" s="155" t="s">
        <v>1975</v>
      </c>
      <c r="E118" s="119" t="s">
        <v>1986</v>
      </c>
      <c r="F118" s="119" t="s">
        <v>1987</v>
      </c>
      <c r="I118" s="116"/>
    </row>
    <row r="119" spans="1:9" ht="63" customHeight="1" x14ac:dyDescent="0.25">
      <c r="A119" s="152" t="s">
        <v>694</v>
      </c>
      <c r="B119" s="119" t="s">
        <v>1985</v>
      </c>
      <c r="C119" s="139" t="s">
        <v>695</v>
      </c>
      <c r="D119" s="155" t="s">
        <v>1975</v>
      </c>
      <c r="E119" s="119" t="s">
        <v>1986</v>
      </c>
      <c r="F119" s="119" t="s">
        <v>1987</v>
      </c>
      <c r="I119" s="116"/>
    </row>
  </sheetData>
  <mergeCells count="1">
    <mergeCell ref="E51:E59"/>
  </mergeCells>
  <pageMargins left="0.7" right="0.7" top="0.75" bottom="0.75" header="0.3" footer="0.3"/>
  <pageSetup paperSize="9" scale="27"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B0D1F-57BB-4321-BDB6-249944D5C70D}">
  <dimension ref="A1:E106"/>
  <sheetViews>
    <sheetView topLeftCell="B1" zoomScale="79" workbookViewId="0">
      <selection activeCell="D1" sqref="D1:E1"/>
    </sheetView>
  </sheetViews>
  <sheetFormatPr defaultRowHeight="15" x14ac:dyDescent="0.25"/>
  <cols>
    <col min="1" max="1" width="46.42578125" style="91" bestFit="1" customWidth="1"/>
    <col min="2" max="2" width="42.28515625" style="91" bestFit="1" customWidth="1"/>
    <col min="3" max="3" width="72.28515625" style="91" bestFit="1" customWidth="1"/>
    <col min="4" max="4" width="78.85546875" style="93" customWidth="1"/>
    <col min="5" max="5" width="99" style="93" customWidth="1"/>
  </cols>
  <sheetData>
    <row r="1" spans="1:5" x14ac:dyDescent="0.25">
      <c r="A1" s="149" t="s">
        <v>513</v>
      </c>
      <c r="B1" s="149" t="s">
        <v>504</v>
      </c>
      <c r="C1" s="149" t="s">
        <v>508</v>
      </c>
      <c r="D1" s="150" t="s">
        <v>509</v>
      </c>
      <c r="E1" s="150" t="s">
        <v>511</v>
      </c>
    </row>
    <row r="2" spans="1:5" x14ac:dyDescent="0.25">
      <c r="A2" s="148" t="s">
        <v>550</v>
      </c>
      <c r="B2" s="148" t="s">
        <v>408</v>
      </c>
      <c r="C2" s="148" t="s">
        <v>506</v>
      </c>
      <c r="D2" s="139" t="s">
        <v>515</v>
      </c>
      <c r="E2" s="139" t="s">
        <v>521</v>
      </c>
    </row>
    <row r="3" spans="1:5" x14ac:dyDescent="0.25">
      <c r="A3" s="148" t="s">
        <v>550</v>
      </c>
      <c r="B3" s="148" t="s">
        <v>409</v>
      </c>
      <c r="C3" s="148" t="s">
        <v>506</v>
      </c>
      <c r="D3" s="139" t="s">
        <v>516</v>
      </c>
      <c r="E3" s="139" t="s">
        <v>521</v>
      </c>
    </row>
    <row r="4" spans="1:5" x14ac:dyDescent="0.25">
      <c r="A4" s="148" t="s">
        <v>106</v>
      </c>
      <c r="B4" s="148" t="s">
        <v>410</v>
      </c>
      <c r="C4" s="148" t="s">
        <v>507</v>
      </c>
      <c r="D4" s="139"/>
      <c r="E4" s="139" t="s">
        <v>512</v>
      </c>
    </row>
    <row r="5" spans="1:5" x14ac:dyDescent="0.25">
      <c r="A5" s="148" t="s">
        <v>106</v>
      </c>
      <c r="B5" s="148" t="s">
        <v>411</v>
      </c>
      <c r="C5" s="148" t="s">
        <v>506</v>
      </c>
      <c r="D5" s="139" t="s">
        <v>517</v>
      </c>
      <c r="E5" s="139" t="s">
        <v>521</v>
      </c>
    </row>
    <row r="6" spans="1:5" x14ac:dyDescent="0.25">
      <c r="A6" s="148" t="s">
        <v>106</v>
      </c>
      <c r="B6" s="148" t="s">
        <v>412</v>
      </c>
      <c r="C6" s="148" t="s">
        <v>507</v>
      </c>
      <c r="D6" s="139"/>
      <c r="E6" s="139" t="s">
        <v>512</v>
      </c>
    </row>
    <row r="7" spans="1:5" x14ac:dyDescent="0.25">
      <c r="A7" s="148" t="s">
        <v>106</v>
      </c>
      <c r="B7" s="148" t="s">
        <v>413</v>
      </c>
      <c r="C7" s="148" t="s">
        <v>506</v>
      </c>
      <c r="D7" s="139" t="s">
        <v>523</v>
      </c>
      <c r="E7" s="139" t="s">
        <v>521</v>
      </c>
    </row>
    <row r="8" spans="1:5" x14ac:dyDescent="0.25">
      <c r="A8" s="148" t="s">
        <v>106</v>
      </c>
      <c r="B8" s="148" t="s">
        <v>414</v>
      </c>
      <c r="C8" s="148" t="s">
        <v>506</v>
      </c>
      <c r="D8" s="139" t="s">
        <v>518</v>
      </c>
      <c r="E8" s="139" t="s">
        <v>521</v>
      </c>
    </row>
    <row r="9" spans="1:5" x14ac:dyDescent="0.25">
      <c r="A9" s="148" t="s">
        <v>106</v>
      </c>
      <c r="B9" s="148" t="s">
        <v>415</v>
      </c>
      <c r="C9" s="148" t="s">
        <v>507</v>
      </c>
      <c r="D9" s="139"/>
      <c r="E9" s="139" t="s">
        <v>512</v>
      </c>
    </row>
    <row r="10" spans="1:5" x14ac:dyDescent="0.25">
      <c r="A10" s="148" t="s">
        <v>106</v>
      </c>
      <c r="B10" s="148" t="s">
        <v>416</v>
      </c>
      <c r="C10" s="148" t="s">
        <v>507</v>
      </c>
      <c r="D10" s="139"/>
      <c r="E10" s="139" t="s">
        <v>512</v>
      </c>
    </row>
    <row r="11" spans="1:5" x14ac:dyDescent="0.25">
      <c r="A11" s="148" t="s">
        <v>106</v>
      </c>
      <c r="B11" s="148" t="s">
        <v>107</v>
      </c>
      <c r="C11" s="148" t="s">
        <v>507</v>
      </c>
      <c r="D11" s="139"/>
      <c r="E11" s="139" t="s">
        <v>512</v>
      </c>
    </row>
    <row r="12" spans="1:5" x14ac:dyDescent="0.25">
      <c r="A12" s="148" t="s">
        <v>417</v>
      </c>
      <c r="B12" s="148" t="s">
        <v>418</v>
      </c>
      <c r="C12" s="148" t="s">
        <v>506</v>
      </c>
      <c r="D12" s="139" t="s">
        <v>510</v>
      </c>
      <c r="E12" s="139" t="s">
        <v>521</v>
      </c>
    </row>
    <row r="13" spans="1:5" x14ac:dyDescent="0.25">
      <c r="A13" s="148" t="s">
        <v>417</v>
      </c>
      <c r="B13" s="148" t="s">
        <v>419</v>
      </c>
      <c r="C13" s="148" t="s">
        <v>506</v>
      </c>
      <c r="D13" s="139" t="s">
        <v>510</v>
      </c>
      <c r="E13" s="139" t="s">
        <v>521</v>
      </c>
    </row>
    <row r="14" spans="1:5" x14ac:dyDescent="0.25">
      <c r="A14" s="148" t="s">
        <v>417</v>
      </c>
      <c r="B14" s="148" t="s">
        <v>420</v>
      </c>
      <c r="C14" s="148" t="s">
        <v>505</v>
      </c>
      <c r="D14" s="139" t="s">
        <v>519</v>
      </c>
      <c r="E14" s="139" t="s">
        <v>521</v>
      </c>
    </row>
    <row r="15" spans="1:5" x14ac:dyDescent="0.25">
      <c r="A15" s="148" t="s">
        <v>421</v>
      </c>
      <c r="B15" s="148" t="s">
        <v>422</v>
      </c>
      <c r="C15" s="148" t="s">
        <v>507</v>
      </c>
      <c r="D15" s="139"/>
      <c r="E15" s="139" t="s">
        <v>512</v>
      </c>
    </row>
    <row r="16" spans="1:5" ht="30" x14ac:dyDescent="0.25">
      <c r="A16" s="148" t="s">
        <v>421</v>
      </c>
      <c r="B16" s="148" t="s">
        <v>423</v>
      </c>
      <c r="C16" s="148" t="s">
        <v>506</v>
      </c>
      <c r="D16" s="139" t="s">
        <v>514</v>
      </c>
      <c r="E16" s="139" t="s">
        <v>521</v>
      </c>
    </row>
    <row r="17" spans="1:5" ht="30" x14ac:dyDescent="0.25">
      <c r="A17" s="148" t="s">
        <v>421</v>
      </c>
      <c r="B17" s="148" t="s">
        <v>376</v>
      </c>
      <c r="C17" s="148" t="s">
        <v>506</v>
      </c>
      <c r="D17" s="139" t="s">
        <v>520</v>
      </c>
      <c r="E17" s="139" t="s">
        <v>521</v>
      </c>
    </row>
    <row r="18" spans="1:5" x14ac:dyDescent="0.25">
      <c r="A18" s="148" t="s">
        <v>421</v>
      </c>
      <c r="B18" s="148" t="s">
        <v>424</v>
      </c>
      <c r="C18" s="148" t="s">
        <v>506</v>
      </c>
      <c r="D18" s="139" t="s">
        <v>522</v>
      </c>
      <c r="E18" s="139" t="s">
        <v>521</v>
      </c>
    </row>
    <row r="19" spans="1:5" x14ac:dyDescent="0.25">
      <c r="A19" s="148" t="s">
        <v>421</v>
      </c>
      <c r="B19" s="148" t="s">
        <v>425</v>
      </c>
      <c r="C19" s="148" t="s">
        <v>506</v>
      </c>
      <c r="D19" s="139" t="s">
        <v>523</v>
      </c>
      <c r="E19" s="139" t="s">
        <v>521</v>
      </c>
    </row>
    <row r="20" spans="1:5" x14ac:dyDescent="0.25">
      <c r="A20" s="148" t="s">
        <v>421</v>
      </c>
      <c r="B20" s="148" t="s">
        <v>426</v>
      </c>
      <c r="C20" s="148" t="s">
        <v>506</v>
      </c>
      <c r="D20" s="139" t="s">
        <v>523</v>
      </c>
      <c r="E20" s="139" t="s">
        <v>521</v>
      </c>
    </row>
    <row r="21" spans="1:5" x14ac:dyDescent="0.25">
      <c r="A21" s="148" t="s">
        <v>421</v>
      </c>
      <c r="B21" s="148" t="s">
        <v>427</v>
      </c>
      <c r="C21" s="148" t="s">
        <v>660</v>
      </c>
      <c r="D21" s="139"/>
      <c r="E21" s="139" t="s">
        <v>661</v>
      </c>
    </row>
    <row r="22" spans="1:5" ht="45" x14ac:dyDescent="0.25">
      <c r="A22" s="148" t="s">
        <v>421</v>
      </c>
      <c r="B22" s="148" t="s">
        <v>427</v>
      </c>
      <c r="C22" s="148" t="s">
        <v>659</v>
      </c>
      <c r="D22" s="139" t="s">
        <v>658</v>
      </c>
      <c r="E22" s="139" t="s">
        <v>655</v>
      </c>
    </row>
    <row r="23" spans="1:5" x14ac:dyDescent="0.25">
      <c r="A23" s="148" t="s">
        <v>421</v>
      </c>
      <c r="B23" s="148" t="s">
        <v>428</v>
      </c>
      <c r="C23" s="148" t="s">
        <v>507</v>
      </c>
      <c r="D23" s="139"/>
      <c r="E23" s="139" t="s">
        <v>512</v>
      </c>
    </row>
    <row r="24" spans="1:5" x14ac:dyDescent="0.25">
      <c r="A24" s="148" t="s">
        <v>421</v>
      </c>
      <c r="B24" s="148" t="s">
        <v>429</v>
      </c>
      <c r="C24" s="148" t="s">
        <v>507</v>
      </c>
      <c r="D24" s="139"/>
      <c r="E24" s="139" t="s">
        <v>512</v>
      </c>
    </row>
    <row r="25" spans="1:5" x14ac:dyDescent="0.25">
      <c r="A25" s="148" t="s">
        <v>430</v>
      </c>
      <c r="B25" s="148" t="s">
        <v>431</v>
      </c>
      <c r="C25" s="148" t="s">
        <v>507</v>
      </c>
      <c r="D25" s="139"/>
      <c r="E25" s="139" t="s">
        <v>512</v>
      </c>
    </row>
    <row r="26" spans="1:5" x14ac:dyDescent="0.25">
      <c r="A26" s="148" t="s">
        <v>430</v>
      </c>
      <c r="B26" s="148" t="s">
        <v>432</v>
      </c>
      <c r="C26" s="148" t="s">
        <v>506</v>
      </c>
      <c r="D26" s="139" t="s">
        <v>523</v>
      </c>
      <c r="E26" s="139" t="s">
        <v>521</v>
      </c>
    </row>
    <row r="27" spans="1:5" x14ac:dyDescent="0.25">
      <c r="A27" s="148" t="s">
        <v>430</v>
      </c>
      <c r="B27" s="148" t="s">
        <v>433</v>
      </c>
      <c r="C27" s="148" t="s">
        <v>507</v>
      </c>
      <c r="D27" s="139"/>
      <c r="E27" s="139" t="s">
        <v>512</v>
      </c>
    </row>
    <row r="28" spans="1:5" x14ac:dyDescent="0.25">
      <c r="A28" s="148" t="s">
        <v>430</v>
      </c>
      <c r="B28" s="148" t="s">
        <v>434</v>
      </c>
      <c r="C28" s="148" t="s">
        <v>507</v>
      </c>
      <c r="D28" s="139"/>
      <c r="E28" s="139" t="s">
        <v>512</v>
      </c>
    </row>
    <row r="29" spans="1:5" x14ac:dyDescent="0.25">
      <c r="A29" s="148" t="s">
        <v>435</v>
      </c>
      <c r="B29" s="148" t="s">
        <v>436</v>
      </c>
      <c r="C29" s="148" t="s">
        <v>506</v>
      </c>
      <c r="D29" s="139" t="s">
        <v>523</v>
      </c>
      <c r="E29" s="139" t="s">
        <v>512</v>
      </c>
    </row>
    <row r="30" spans="1:5" x14ac:dyDescent="0.25">
      <c r="A30" s="148" t="s">
        <v>435</v>
      </c>
      <c r="B30" s="148" t="s">
        <v>437</v>
      </c>
      <c r="C30" s="148" t="s">
        <v>505</v>
      </c>
      <c r="D30" s="139"/>
      <c r="E30" s="139" t="s">
        <v>524</v>
      </c>
    </row>
    <row r="31" spans="1:5" x14ac:dyDescent="0.25">
      <c r="A31" s="148" t="s">
        <v>435</v>
      </c>
      <c r="B31" s="148" t="s">
        <v>438</v>
      </c>
      <c r="C31" s="148" t="s">
        <v>506</v>
      </c>
      <c r="D31" s="139" t="s">
        <v>523</v>
      </c>
      <c r="E31" s="139" t="s">
        <v>512</v>
      </c>
    </row>
    <row r="32" spans="1:5" x14ac:dyDescent="0.25">
      <c r="A32" s="148" t="s">
        <v>435</v>
      </c>
      <c r="B32" s="148" t="s">
        <v>439</v>
      </c>
      <c r="C32" s="148" t="s">
        <v>505</v>
      </c>
      <c r="D32" s="139"/>
      <c r="E32" s="139" t="s">
        <v>524</v>
      </c>
    </row>
    <row r="33" spans="1:5" x14ac:dyDescent="0.25">
      <c r="A33" s="148" t="s">
        <v>435</v>
      </c>
      <c r="B33" s="148" t="s">
        <v>440</v>
      </c>
      <c r="C33" s="148" t="s">
        <v>507</v>
      </c>
      <c r="D33" s="139"/>
      <c r="E33" s="139" t="s">
        <v>512</v>
      </c>
    </row>
    <row r="34" spans="1:5" x14ac:dyDescent="0.25">
      <c r="A34" s="148" t="s">
        <v>435</v>
      </c>
      <c r="B34" s="148" t="s">
        <v>422</v>
      </c>
      <c r="C34" s="148" t="s">
        <v>507</v>
      </c>
      <c r="D34" s="139"/>
      <c r="E34" s="139" t="s">
        <v>512</v>
      </c>
    </row>
    <row r="35" spans="1:5" x14ac:dyDescent="0.25">
      <c r="A35" s="148" t="s">
        <v>435</v>
      </c>
      <c r="B35" s="148" t="s">
        <v>441</v>
      </c>
      <c r="C35" s="148" t="s">
        <v>507</v>
      </c>
      <c r="D35" s="139"/>
      <c r="E35" s="139" t="s">
        <v>512</v>
      </c>
    </row>
    <row r="36" spans="1:5" x14ac:dyDescent="0.25">
      <c r="A36" s="148" t="s">
        <v>442</v>
      </c>
      <c r="B36" s="148" t="s">
        <v>443</v>
      </c>
      <c r="C36" s="148" t="s">
        <v>506</v>
      </c>
      <c r="D36" s="139" t="s">
        <v>523</v>
      </c>
      <c r="E36" s="139" t="s">
        <v>521</v>
      </c>
    </row>
    <row r="37" spans="1:5" x14ac:dyDescent="0.25">
      <c r="A37" s="148" t="s">
        <v>442</v>
      </c>
      <c r="B37" s="148" t="s">
        <v>444</v>
      </c>
      <c r="C37" s="148" t="s">
        <v>506</v>
      </c>
      <c r="D37" s="139" t="s">
        <v>523</v>
      </c>
      <c r="E37" s="139" t="s">
        <v>512</v>
      </c>
    </row>
    <row r="38" spans="1:5" x14ac:dyDescent="0.25">
      <c r="A38" s="148" t="s">
        <v>442</v>
      </c>
      <c r="B38" s="148" t="s">
        <v>445</v>
      </c>
      <c r="C38" s="148" t="s">
        <v>506</v>
      </c>
      <c r="D38" s="139" t="s">
        <v>523</v>
      </c>
      <c r="E38" s="139" t="s">
        <v>521</v>
      </c>
    </row>
    <row r="39" spans="1:5" x14ac:dyDescent="0.25">
      <c r="A39" s="148" t="s">
        <v>442</v>
      </c>
      <c r="B39" s="148" t="s">
        <v>446</v>
      </c>
      <c r="C39" s="148" t="s">
        <v>506</v>
      </c>
      <c r="D39" s="139" t="s">
        <v>523</v>
      </c>
      <c r="E39" s="139" t="s">
        <v>512</v>
      </c>
    </row>
    <row r="40" spans="1:5" x14ac:dyDescent="0.25">
      <c r="A40" s="148" t="s">
        <v>442</v>
      </c>
      <c r="B40" s="148" t="s">
        <v>447</v>
      </c>
      <c r="C40" s="148" t="s">
        <v>506</v>
      </c>
      <c r="D40" s="139" t="s">
        <v>523</v>
      </c>
      <c r="E40" s="139" t="s">
        <v>521</v>
      </c>
    </row>
    <row r="41" spans="1:5" x14ac:dyDescent="0.25">
      <c r="A41" s="148" t="s">
        <v>442</v>
      </c>
      <c r="B41" s="148" t="s">
        <v>448</v>
      </c>
      <c r="C41" s="148" t="s">
        <v>506</v>
      </c>
      <c r="D41" s="139" t="s">
        <v>523</v>
      </c>
      <c r="E41" s="139" t="s">
        <v>512</v>
      </c>
    </row>
    <row r="42" spans="1:5" ht="30" x14ac:dyDescent="0.25">
      <c r="A42" s="148" t="s">
        <v>449</v>
      </c>
      <c r="B42" s="148" t="s">
        <v>450</v>
      </c>
      <c r="C42" s="148" t="s">
        <v>506</v>
      </c>
      <c r="D42" s="139" t="s">
        <v>526</v>
      </c>
      <c r="E42" s="139" t="s">
        <v>525</v>
      </c>
    </row>
    <row r="43" spans="1:5" ht="30" x14ac:dyDescent="0.25">
      <c r="A43" s="148" t="s">
        <v>449</v>
      </c>
      <c r="B43" s="148" t="s">
        <v>451</v>
      </c>
      <c r="C43" s="148" t="s">
        <v>506</v>
      </c>
      <c r="D43" s="139" t="s">
        <v>898</v>
      </c>
      <c r="E43" s="139" t="s">
        <v>900</v>
      </c>
    </row>
    <row r="44" spans="1:5" x14ac:dyDescent="0.25">
      <c r="A44" s="148" t="s">
        <v>452</v>
      </c>
      <c r="B44" s="148" t="s">
        <v>453</v>
      </c>
      <c r="C44" s="148" t="s">
        <v>506</v>
      </c>
      <c r="D44" s="139" t="s">
        <v>523</v>
      </c>
      <c r="E44" s="139" t="s">
        <v>521</v>
      </c>
    </row>
    <row r="45" spans="1:5" x14ac:dyDescent="0.25">
      <c r="A45" s="148" t="s">
        <v>452</v>
      </c>
      <c r="B45" s="148" t="s">
        <v>454</v>
      </c>
      <c r="C45" s="148" t="s">
        <v>506</v>
      </c>
      <c r="D45" s="139" t="s">
        <v>523</v>
      </c>
      <c r="E45" s="139" t="s">
        <v>521</v>
      </c>
    </row>
    <row r="46" spans="1:5" x14ac:dyDescent="0.25">
      <c r="A46" s="148" t="s">
        <v>452</v>
      </c>
      <c r="B46" s="148" t="s">
        <v>455</v>
      </c>
      <c r="C46" s="148" t="s">
        <v>506</v>
      </c>
      <c r="D46" s="139" t="s">
        <v>523</v>
      </c>
      <c r="E46" s="139" t="s">
        <v>521</v>
      </c>
    </row>
    <row r="47" spans="1:5" x14ac:dyDescent="0.25">
      <c r="A47" s="148" t="s">
        <v>452</v>
      </c>
      <c r="B47" s="148" t="s">
        <v>456</v>
      </c>
      <c r="C47" s="148" t="s">
        <v>506</v>
      </c>
      <c r="D47" s="139" t="s">
        <v>523</v>
      </c>
      <c r="E47" s="139" t="s">
        <v>521</v>
      </c>
    </row>
    <row r="48" spans="1:5" x14ac:dyDescent="0.25">
      <c r="A48" s="148" t="s">
        <v>452</v>
      </c>
      <c r="B48" s="148" t="s">
        <v>457</v>
      </c>
      <c r="C48" s="148" t="s">
        <v>506</v>
      </c>
      <c r="D48" s="139" t="s">
        <v>523</v>
      </c>
      <c r="E48" s="139" t="s">
        <v>521</v>
      </c>
    </row>
    <row r="49" spans="1:5" x14ac:dyDescent="0.25">
      <c r="A49" s="148" t="s">
        <v>452</v>
      </c>
      <c r="B49" s="148" t="s">
        <v>458</v>
      </c>
      <c r="C49" s="148" t="s">
        <v>506</v>
      </c>
      <c r="D49" s="139" t="s">
        <v>523</v>
      </c>
      <c r="E49" s="139" t="s">
        <v>521</v>
      </c>
    </row>
    <row r="50" spans="1:5" x14ac:dyDescent="0.25">
      <c r="A50" s="148" t="s">
        <v>459</v>
      </c>
      <c r="B50" s="148" t="s">
        <v>460</v>
      </c>
      <c r="C50" s="148" t="s">
        <v>506</v>
      </c>
      <c r="D50" s="139" t="s">
        <v>523</v>
      </c>
      <c r="E50" s="139" t="s">
        <v>521</v>
      </c>
    </row>
    <row r="51" spans="1:5" x14ac:dyDescent="0.25">
      <c r="A51" s="148" t="s">
        <v>459</v>
      </c>
      <c r="B51" s="148" t="s">
        <v>461</v>
      </c>
      <c r="C51" s="148" t="s">
        <v>505</v>
      </c>
      <c r="D51" s="139"/>
      <c r="E51" s="139" t="s">
        <v>524</v>
      </c>
    </row>
    <row r="52" spans="1:5" x14ac:dyDescent="0.25">
      <c r="A52" s="148" t="s">
        <v>459</v>
      </c>
      <c r="B52" s="148" t="s">
        <v>462</v>
      </c>
      <c r="C52" s="148" t="s">
        <v>505</v>
      </c>
      <c r="D52" s="139"/>
      <c r="E52" s="139" t="s">
        <v>524</v>
      </c>
    </row>
    <row r="53" spans="1:5" x14ac:dyDescent="0.25">
      <c r="A53" s="148" t="s">
        <v>459</v>
      </c>
      <c r="B53" s="148" t="s">
        <v>463</v>
      </c>
      <c r="C53" s="148" t="s">
        <v>505</v>
      </c>
      <c r="D53" s="139"/>
      <c r="E53" s="139" t="s">
        <v>524</v>
      </c>
    </row>
    <row r="54" spans="1:5" x14ac:dyDescent="0.25">
      <c r="A54" s="148" t="s">
        <v>459</v>
      </c>
      <c r="B54" s="148" t="s">
        <v>464</v>
      </c>
      <c r="C54" s="148" t="s">
        <v>505</v>
      </c>
      <c r="D54" s="139"/>
      <c r="E54" s="139" t="s">
        <v>524</v>
      </c>
    </row>
    <row r="55" spans="1:5" x14ac:dyDescent="0.25">
      <c r="A55" s="148" t="s">
        <v>465</v>
      </c>
      <c r="B55" s="148" t="s">
        <v>466</v>
      </c>
      <c r="C55" s="148" t="s">
        <v>505</v>
      </c>
      <c r="D55" s="139"/>
      <c r="E55" s="139" t="s">
        <v>524</v>
      </c>
    </row>
    <row r="56" spans="1:5" x14ac:dyDescent="0.25">
      <c r="A56" s="148" t="s">
        <v>465</v>
      </c>
      <c r="B56" s="148" t="s">
        <v>467</v>
      </c>
      <c r="C56" s="148" t="s">
        <v>505</v>
      </c>
      <c r="D56" s="139"/>
      <c r="E56" s="139" t="s">
        <v>524</v>
      </c>
    </row>
    <row r="57" spans="1:5" x14ac:dyDescent="0.25">
      <c r="A57" s="148" t="s">
        <v>465</v>
      </c>
      <c r="B57" s="148" t="s">
        <v>468</v>
      </c>
      <c r="C57" s="148" t="s">
        <v>506</v>
      </c>
      <c r="D57" s="139" t="s">
        <v>527</v>
      </c>
      <c r="E57" s="139" t="s">
        <v>528</v>
      </c>
    </row>
    <row r="58" spans="1:5" x14ac:dyDescent="0.25">
      <c r="A58" s="148" t="s">
        <v>465</v>
      </c>
      <c r="B58" s="148" t="s">
        <v>469</v>
      </c>
      <c r="C58" s="148" t="s">
        <v>505</v>
      </c>
      <c r="D58" s="139"/>
      <c r="E58" s="139" t="s">
        <v>524</v>
      </c>
    </row>
    <row r="59" spans="1:5" ht="30" x14ac:dyDescent="0.25">
      <c r="A59" s="148" t="s">
        <v>465</v>
      </c>
      <c r="B59" s="148" t="s">
        <v>470</v>
      </c>
      <c r="C59" s="148" t="s">
        <v>1924</v>
      </c>
      <c r="D59" s="139" t="s">
        <v>1925</v>
      </c>
      <c r="E59" s="139" t="s">
        <v>1926</v>
      </c>
    </row>
    <row r="60" spans="1:5" x14ac:dyDescent="0.25">
      <c r="A60" s="148" t="s">
        <v>465</v>
      </c>
      <c r="B60" s="148" t="s">
        <v>471</v>
      </c>
      <c r="C60" s="148" t="s">
        <v>505</v>
      </c>
      <c r="D60" s="139"/>
      <c r="E60" s="139" t="s">
        <v>524</v>
      </c>
    </row>
    <row r="61" spans="1:5" x14ac:dyDescent="0.25">
      <c r="A61" s="148" t="s">
        <v>465</v>
      </c>
      <c r="B61" s="148" t="s">
        <v>472</v>
      </c>
      <c r="C61" s="148" t="s">
        <v>505</v>
      </c>
      <c r="D61" s="139"/>
      <c r="E61" s="139" t="s">
        <v>524</v>
      </c>
    </row>
    <row r="62" spans="1:5" x14ac:dyDescent="0.25">
      <c r="A62" s="148" t="s">
        <v>473</v>
      </c>
      <c r="B62" s="148" t="s">
        <v>474</v>
      </c>
      <c r="C62" s="148" t="s">
        <v>505</v>
      </c>
      <c r="D62" s="139"/>
      <c r="E62" s="139" t="s">
        <v>524</v>
      </c>
    </row>
    <row r="63" spans="1:5" x14ac:dyDescent="0.25">
      <c r="A63" s="148" t="s">
        <v>473</v>
      </c>
      <c r="B63" s="148" t="s">
        <v>475</v>
      </c>
      <c r="C63" s="148" t="s">
        <v>505</v>
      </c>
      <c r="D63" s="139"/>
      <c r="E63" s="139" t="s">
        <v>524</v>
      </c>
    </row>
    <row r="64" spans="1:5" x14ac:dyDescent="0.25">
      <c r="A64" s="148" t="s">
        <v>473</v>
      </c>
      <c r="B64" s="148" t="s">
        <v>476</v>
      </c>
      <c r="C64" s="148" t="s">
        <v>505</v>
      </c>
      <c r="D64" s="139"/>
      <c r="E64" s="139" t="s">
        <v>524</v>
      </c>
    </row>
    <row r="65" spans="1:5" x14ac:dyDescent="0.25">
      <c r="A65" s="148" t="s">
        <v>473</v>
      </c>
      <c r="B65" s="148" t="s">
        <v>477</v>
      </c>
      <c r="C65" s="148" t="s">
        <v>506</v>
      </c>
      <c r="D65" s="139" t="s">
        <v>523</v>
      </c>
      <c r="E65" s="139" t="s">
        <v>529</v>
      </c>
    </row>
    <row r="66" spans="1:5" x14ac:dyDescent="0.25">
      <c r="A66" s="148" t="s">
        <v>478</v>
      </c>
      <c r="B66" s="148" t="s">
        <v>479</v>
      </c>
      <c r="C66" s="148" t="s">
        <v>505</v>
      </c>
      <c r="D66" s="139"/>
      <c r="E66" s="139" t="s">
        <v>524</v>
      </c>
    </row>
    <row r="67" spans="1:5" x14ac:dyDescent="0.25">
      <c r="A67" s="148" t="s">
        <v>478</v>
      </c>
      <c r="B67" s="148" t="s">
        <v>480</v>
      </c>
      <c r="C67" s="148" t="s">
        <v>507</v>
      </c>
      <c r="D67" s="139"/>
      <c r="E67" s="139" t="s">
        <v>512</v>
      </c>
    </row>
    <row r="68" spans="1:5" x14ac:dyDescent="0.25">
      <c r="A68" s="148" t="s">
        <v>478</v>
      </c>
      <c r="B68" s="148" t="s">
        <v>481</v>
      </c>
      <c r="C68" s="148" t="s">
        <v>505</v>
      </c>
      <c r="D68" s="139"/>
      <c r="E68" s="139" t="s">
        <v>524</v>
      </c>
    </row>
    <row r="69" spans="1:5" x14ac:dyDescent="0.25">
      <c r="A69" s="148" t="s">
        <v>478</v>
      </c>
      <c r="B69" s="148" t="s">
        <v>482</v>
      </c>
      <c r="C69" s="148" t="s">
        <v>507</v>
      </c>
      <c r="D69" s="139"/>
      <c r="E69" s="139" t="s">
        <v>512</v>
      </c>
    </row>
    <row r="70" spans="1:5" x14ac:dyDescent="0.25">
      <c r="A70" s="148" t="s">
        <v>478</v>
      </c>
      <c r="B70" s="148" t="s">
        <v>483</v>
      </c>
      <c r="C70" s="148" t="s">
        <v>505</v>
      </c>
      <c r="D70" s="139"/>
      <c r="E70" s="139" t="s">
        <v>524</v>
      </c>
    </row>
    <row r="71" spans="1:5" x14ac:dyDescent="0.25">
      <c r="A71" s="148" t="s">
        <v>478</v>
      </c>
      <c r="B71" s="148" t="s">
        <v>484</v>
      </c>
      <c r="C71" s="148" t="s">
        <v>505</v>
      </c>
      <c r="D71" s="139"/>
      <c r="E71" s="139" t="s">
        <v>524</v>
      </c>
    </row>
    <row r="72" spans="1:5" x14ac:dyDescent="0.25">
      <c r="A72" s="148" t="s">
        <v>721</v>
      </c>
      <c r="B72" s="148" t="s">
        <v>721</v>
      </c>
      <c r="C72" s="148" t="s">
        <v>507</v>
      </c>
      <c r="D72" s="139"/>
      <c r="E72" s="139" t="s">
        <v>512</v>
      </c>
    </row>
    <row r="73" spans="1:5" x14ac:dyDescent="0.25">
      <c r="A73" s="148" t="s">
        <v>485</v>
      </c>
      <c r="B73" s="148" t="s">
        <v>486</v>
      </c>
      <c r="C73" s="148" t="s">
        <v>505</v>
      </c>
      <c r="D73" s="139"/>
      <c r="E73" s="139" t="s">
        <v>524</v>
      </c>
    </row>
    <row r="74" spans="1:5" x14ac:dyDescent="0.25">
      <c r="A74" s="148" t="s">
        <v>485</v>
      </c>
      <c r="B74" s="148" t="s">
        <v>487</v>
      </c>
      <c r="C74" s="148" t="s">
        <v>505</v>
      </c>
      <c r="D74" s="139"/>
      <c r="E74" s="139" t="s">
        <v>524</v>
      </c>
    </row>
    <row r="75" spans="1:5" x14ac:dyDescent="0.25">
      <c r="A75" s="148" t="s">
        <v>485</v>
      </c>
      <c r="B75" s="148" t="s">
        <v>488</v>
      </c>
      <c r="C75" s="148" t="s">
        <v>505</v>
      </c>
      <c r="D75" s="139"/>
      <c r="E75" s="139" t="s">
        <v>524</v>
      </c>
    </row>
    <row r="76" spans="1:5" x14ac:dyDescent="0.25">
      <c r="A76" s="148" t="s">
        <v>485</v>
      </c>
      <c r="B76" s="148" t="s">
        <v>489</v>
      </c>
      <c r="C76" s="148" t="s">
        <v>505</v>
      </c>
      <c r="D76" s="139"/>
      <c r="E76" s="139" t="s">
        <v>524</v>
      </c>
    </row>
    <row r="77" spans="1:5" x14ac:dyDescent="0.25">
      <c r="A77" s="148" t="s">
        <v>485</v>
      </c>
      <c r="B77" s="148" t="s">
        <v>490</v>
      </c>
      <c r="C77" s="148" t="s">
        <v>505</v>
      </c>
      <c r="D77" s="139"/>
      <c r="E77" s="139" t="s">
        <v>524</v>
      </c>
    </row>
    <row r="78" spans="1:5" x14ac:dyDescent="0.25">
      <c r="A78" s="148" t="s">
        <v>485</v>
      </c>
      <c r="B78" s="148" t="s">
        <v>667</v>
      </c>
      <c r="C78" s="148" t="s">
        <v>505</v>
      </c>
      <c r="D78" s="139"/>
      <c r="E78" s="139" t="s">
        <v>524</v>
      </c>
    </row>
    <row r="79" spans="1:5" x14ac:dyDescent="0.25">
      <c r="A79" s="148" t="s">
        <v>491</v>
      </c>
      <c r="B79" s="148" t="s">
        <v>492</v>
      </c>
      <c r="C79" s="148" t="s">
        <v>505</v>
      </c>
      <c r="D79" s="139"/>
      <c r="E79" s="139" t="s">
        <v>524</v>
      </c>
    </row>
    <row r="80" spans="1:5" x14ac:dyDescent="0.25">
      <c r="A80" s="148" t="s">
        <v>491</v>
      </c>
      <c r="B80" s="148" t="s">
        <v>487</v>
      </c>
      <c r="C80" s="148" t="s">
        <v>505</v>
      </c>
      <c r="D80" s="139"/>
      <c r="E80" s="139" t="s">
        <v>524</v>
      </c>
    </row>
    <row r="81" spans="1:5" x14ac:dyDescent="0.25">
      <c r="A81" s="148" t="s">
        <v>493</v>
      </c>
      <c r="B81" s="148" t="s">
        <v>662</v>
      </c>
      <c r="C81" s="148" t="s">
        <v>33</v>
      </c>
      <c r="D81" s="139"/>
      <c r="E81" s="139" t="s">
        <v>531</v>
      </c>
    </row>
    <row r="82" spans="1:5" x14ac:dyDescent="0.25">
      <c r="A82" s="148" t="s">
        <v>493</v>
      </c>
      <c r="B82" s="148" t="s">
        <v>663</v>
      </c>
      <c r="C82" s="148" t="s">
        <v>33</v>
      </c>
      <c r="D82" s="139"/>
      <c r="E82" s="139" t="s">
        <v>531</v>
      </c>
    </row>
    <row r="83" spans="1:5" x14ac:dyDescent="0.25">
      <c r="A83" s="148" t="s">
        <v>493</v>
      </c>
      <c r="B83" s="148" t="s">
        <v>664</v>
      </c>
      <c r="C83" s="148" t="s">
        <v>33</v>
      </c>
      <c r="D83" s="139"/>
      <c r="E83" s="139" t="s">
        <v>531</v>
      </c>
    </row>
    <row r="84" spans="1:5" x14ac:dyDescent="0.25">
      <c r="A84" s="148" t="s">
        <v>493</v>
      </c>
      <c r="B84" s="148" t="s">
        <v>665</v>
      </c>
      <c r="C84" s="148" t="s">
        <v>33</v>
      </c>
      <c r="D84" s="139"/>
      <c r="E84" s="139" t="s">
        <v>531</v>
      </c>
    </row>
    <row r="85" spans="1:5" x14ac:dyDescent="0.25">
      <c r="A85" s="148" t="s">
        <v>493</v>
      </c>
      <c r="B85" s="148" t="s">
        <v>666</v>
      </c>
      <c r="C85" s="148" t="s">
        <v>33</v>
      </c>
      <c r="D85" s="139"/>
      <c r="E85" s="139" t="s">
        <v>531</v>
      </c>
    </row>
    <row r="86" spans="1:5" x14ac:dyDescent="0.25">
      <c r="A86" s="148" t="s">
        <v>494</v>
      </c>
      <c r="B86" s="148" t="s">
        <v>495</v>
      </c>
      <c r="C86" s="148" t="s">
        <v>507</v>
      </c>
      <c r="D86" s="139"/>
      <c r="E86" s="139" t="s">
        <v>512</v>
      </c>
    </row>
    <row r="87" spans="1:5" x14ac:dyDescent="0.25">
      <c r="A87" s="148" t="s">
        <v>494</v>
      </c>
      <c r="B87" s="148" t="s">
        <v>496</v>
      </c>
      <c r="C87" s="148" t="s">
        <v>507</v>
      </c>
      <c r="D87" s="139"/>
      <c r="E87" s="139" t="s">
        <v>512</v>
      </c>
    </row>
    <row r="88" spans="1:5" x14ac:dyDescent="0.25">
      <c r="A88" s="148" t="s">
        <v>494</v>
      </c>
      <c r="B88" s="148" t="s">
        <v>497</v>
      </c>
      <c r="C88" s="148" t="s">
        <v>507</v>
      </c>
      <c r="D88" s="139"/>
      <c r="E88" s="139" t="s">
        <v>512</v>
      </c>
    </row>
    <row r="89" spans="1:5" x14ac:dyDescent="0.25">
      <c r="A89" s="148" t="s">
        <v>425</v>
      </c>
      <c r="B89" s="148" t="s">
        <v>498</v>
      </c>
      <c r="C89" s="148" t="s">
        <v>505</v>
      </c>
      <c r="D89" s="139"/>
      <c r="E89" s="139" t="s">
        <v>524</v>
      </c>
    </row>
    <row r="90" spans="1:5" ht="75" x14ac:dyDescent="0.25">
      <c r="A90" s="148" t="s">
        <v>425</v>
      </c>
      <c r="B90" s="148" t="s">
        <v>533</v>
      </c>
      <c r="C90" s="148" t="s">
        <v>723</v>
      </c>
      <c r="D90" s="139" t="s">
        <v>668</v>
      </c>
      <c r="E90" s="139" t="s">
        <v>551</v>
      </c>
    </row>
    <row r="91" spans="1:5" x14ac:dyDescent="0.25">
      <c r="A91" s="148" t="s">
        <v>425</v>
      </c>
      <c r="B91" s="148" t="s">
        <v>499</v>
      </c>
      <c r="C91" s="148" t="s">
        <v>506</v>
      </c>
      <c r="D91" s="139" t="s">
        <v>530</v>
      </c>
      <c r="E91" s="139" t="s">
        <v>529</v>
      </c>
    </row>
    <row r="92" spans="1:5" ht="75" x14ac:dyDescent="0.25">
      <c r="A92" s="148" t="s">
        <v>425</v>
      </c>
      <c r="B92" s="148" t="s">
        <v>91</v>
      </c>
      <c r="C92" s="148" t="s">
        <v>722</v>
      </c>
      <c r="D92" s="139" t="s">
        <v>668</v>
      </c>
      <c r="E92" s="139" t="s">
        <v>1951</v>
      </c>
    </row>
    <row r="93" spans="1:5" x14ac:dyDescent="0.25">
      <c r="A93" s="148" t="s">
        <v>500</v>
      </c>
      <c r="B93" s="148" t="s">
        <v>903</v>
      </c>
      <c r="C93" s="148" t="s">
        <v>505</v>
      </c>
      <c r="D93" s="139"/>
      <c r="E93" s="139" t="s">
        <v>524</v>
      </c>
    </row>
    <row r="94" spans="1:5" ht="30" x14ac:dyDescent="0.25">
      <c r="A94" s="148" t="s">
        <v>500</v>
      </c>
      <c r="B94" s="148" t="s">
        <v>904</v>
      </c>
      <c r="C94" s="148" t="s">
        <v>33</v>
      </c>
      <c r="D94" s="139" t="s">
        <v>905</v>
      </c>
      <c r="E94" s="139" t="s">
        <v>531</v>
      </c>
    </row>
    <row r="95" spans="1:5" x14ac:dyDescent="0.25">
      <c r="A95" s="148" t="s">
        <v>500</v>
      </c>
      <c r="B95" s="148" t="s">
        <v>501</v>
      </c>
      <c r="C95" s="148" t="s">
        <v>505</v>
      </c>
      <c r="D95" s="139"/>
      <c r="E95" s="139" t="s">
        <v>524</v>
      </c>
    </row>
    <row r="96" spans="1:5" x14ac:dyDescent="0.25">
      <c r="A96" s="148" t="s">
        <v>500</v>
      </c>
      <c r="B96" s="148" t="s">
        <v>502</v>
      </c>
      <c r="C96" s="148" t="s">
        <v>505</v>
      </c>
      <c r="D96" s="139"/>
      <c r="E96" s="139" t="s">
        <v>524</v>
      </c>
    </row>
    <row r="97" spans="1:5" x14ac:dyDescent="0.25">
      <c r="A97" s="148" t="s">
        <v>500</v>
      </c>
      <c r="B97" s="148" t="s">
        <v>503</v>
      </c>
      <c r="C97" s="148" t="s">
        <v>505</v>
      </c>
      <c r="D97" s="139"/>
      <c r="E97" s="139" t="s">
        <v>524</v>
      </c>
    </row>
    <row r="98" spans="1:5" ht="45" x14ac:dyDescent="0.25">
      <c r="A98" s="148" t="s">
        <v>2410</v>
      </c>
      <c r="B98" s="148" t="s">
        <v>2386</v>
      </c>
      <c r="C98" s="148" t="s">
        <v>505</v>
      </c>
      <c r="D98" s="139"/>
      <c r="E98" s="139" t="s">
        <v>2411</v>
      </c>
    </row>
    <row r="99" spans="1:5" x14ac:dyDescent="0.25">
      <c r="A99" s="148" t="s">
        <v>2410</v>
      </c>
      <c r="B99" s="148" t="s">
        <v>2409</v>
      </c>
      <c r="C99" s="148" t="s">
        <v>505</v>
      </c>
      <c r="D99" s="139"/>
      <c r="E99" s="139" t="s">
        <v>524</v>
      </c>
    </row>
    <row r="100" spans="1:5" x14ac:dyDescent="0.25">
      <c r="A100" s="148" t="s">
        <v>2410</v>
      </c>
      <c r="B100" s="148" t="s">
        <v>2395</v>
      </c>
      <c r="C100" s="148" t="s">
        <v>505</v>
      </c>
      <c r="D100" s="139"/>
      <c r="E100" s="139" t="s">
        <v>524</v>
      </c>
    </row>
    <row r="101" spans="1:5" ht="75" x14ac:dyDescent="0.25">
      <c r="A101" s="148" t="s">
        <v>2412</v>
      </c>
      <c r="B101" s="148" t="s">
        <v>2492</v>
      </c>
      <c r="C101" s="194" t="s">
        <v>2493</v>
      </c>
      <c r="D101" s="139"/>
      <c r="E101" s="139" t="s">
        <v>2414</v>
      </c>
    </row>
    <row r="104" spans="1:5" x14ac:dyDescent="0.25">
      <c r="A104" s="91" t="s">
        <v>2552</v>
      </c>
      <c r="B104" s="91" t="s">
        <v>2553</v>
      </c>
    </row>
    <row r="105" spans="1:5" x14ac:dyDescent="0.25">
      <c r="A105" s="91" t="s">
        <v>505</v>
      </c>
      <c r="B105" s="91" t="s">
        <v>2554</v>
      </c>
    </row>
    <row r="106" spans="1:5" x14ac:dyDescent="0.25">
      <c r="A106" s="91" t="s">
        <v>2555</v>
      </c>
      <c r="B106" s="91" t="s">
        <v>512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2F537-DA2E-4488-AFD7-2D798A8F01ED}">
  <sheetPr>
    <pageSetUpPr fitToPage="1"/>
  </sheetPr>
  <dimension ref="A1:H1004"/>
  <sheetViews>
    <sheetView zoomScale="74" zoomScaleNormal="130" workbookViewId="0">
      <selection activeCell="F2" sqref="F2"/>
    </sheetView>
  </sheetViews>
  <sheetFormatPr defaultRowHeight="15" x14ac:dyDescent="0.25"/>
  <cols>
    <col min="1" max="1" width="30.5703125" bestFit="1" customWidth="1"/>
    <col min="2" max="2" width="49.140625" bestFit="1" customWidth="1"/>
    <col min="3" max="3" width="32.85546875" bestFit="1" customWidth="1"/>
    <col min="4" max="4" width="32.85546875" customWidth="1"/>
    <col min="5" max="5" width="32.85546875" style="116" customWidth="1"/>
    <col min="6" max="6" width="26.85546875" customWidth="1"/>
  </cols>
  <sheetData>
    <row r="1" spans="1:8" x14ac:dyDescent="0.25">
      <c r="A1" s="233" t="s">
        <v>1958</v>
      </c>
      <c r="B1" s="233"/>
      <c r="C1" s="233"/>
      <c r="D1" s="233"/>
      <c r="E1" s="233"/>
      <c r="F1" s="233"/>
      <c r="G1" s="233"/>
      <c r="H1" s="107" t="s">
        <v>1959</v>
      </c>
    </row>
    <row r="2" spans="1:8" ht="30" x14ac:dyDescent="0.25">
      <c r="A2" s="197" t="s">
        <v>942</v>
      </c>
      <c r="B2" s="197" t="s">
        <v>943</v>
      </c>
      <c r="C2" s="197" t="s">
        <v>944</v>
      </c>
      <c r="D2" s="197" t="s">
        <v>2556</v>
      </c>
      <c r="E2" s="197" t="s">
        <v>509</v>
      </c>
      <c r="F2" s="197" t="s">
        <v>511</v>
      </c>
      <c r="G2" s="198"/>
    </row>
    <row r="3" spans="1:8" ht="45" x14ac:dyDescent="0.25">
      <c r="A3" t="s">
        <v>945</v>
      </c>
      <c r="B3" t="s">
        <v>946</v>
      </c>
      <c r="C3" t="s">
        <v>470</v>
      </c>
      <c r="D3" t="str">
        <f>_xlfn.XLOOKUP(C3,'Allow&amp;Disa Exp by Truelayer cat'!$B:$B,'Allow&amp;Disa Exp by Truelayer cat'!$C:$C)</f>
        <v>Review if over &gt;1,000</v>
      </c>
      <c r="E3" s="116" t="str">
        <f>_xlfn.XLOOKUP(C3,'Allow&amp;Disa Exp by Truelayer cat'!$B:$B,'Allow&amp;Disa Exp by Truelayer cat'!$D:$D)</f>
        <v>"Could this be a vehicle purchase?" - If user says no - "Was this purchase for trade purposes?"</v>
      </c>
      <c r="F3" t="str">
        <f>_xlfn.XLOOKUP(C3,'Allow&amp;Disa Exp by Truelayer cat'!$B:$B,'Allow&amp;Disa Exp by Truelayer cat'!$E:$E)</f>
        <v>If Yes to vehicle purchase, then proceed Capital allowancesquestions (in capital allowance page) if yes for trade, deduct from expenses</v>
      </c>
      <c r="H3" s="3" t="s">
        <v>1928</v>
      </c>
    </row>
    <row r="4" spans="1:8" ht="45" x14ac:dyDescent="0.25">
      <c r="A4" t="s">
        <v>945</v>
      </c>
      <c r="B4" t="s">
        <v>947</v>
      </c>
      <c r="C4" t="s">
        <v>470</v>
      </c>
      <c r="D4" t="str">
        <f>_xlfn.XLOOKUP(C4,'Allow&amp;Disa Exp by Truelayer cat'!$B:$B,'Allow&amp;Disa Exp by Truelayer cat'!$C:$C)</f>
        <v>Review if over &gt;1,000</v>
      </c>
      <c r="E4" s="116" t="str">
        <f>_xlfn.XLOOKUP(C4,'Allow&amp;Disa Exp by Truelayer cat'!$B:$B,'Allow&amp;Disa Exp by Truelayer cat'!$D:$D)</f>
        <v>"Could this be a vehicle purchase?" - If user says no - "Was this purchase for trade purposes?"</v>
      </c>
      <c r="F4" t="str">
        <f>_xlfn.XLOOKUP(C4,'Allow&amp;Disa Exp by Truelayer cat'!$B:$B,'Allow&amp;Disa Exp by Truelayer cat'!$E:$E)</f>
        <v>If Yes to vehicle purchase, then proceed Capital allowancesquestions (in capital allowance page) if yes for trade, deduct from expenses</v>
      </c>
      <c r="H4" s="103" t="s">
        <v>1929</v>
      </c>
    </row>
    <row r="5" spans="1:8" ht="45" x14ac:dyDescent="0.25">
      <c r="A5" t="s">
        <v>945</v>
      </c>
      <c r="B5" t="s">
        <v>948</v>
      </c>
      <c r="C5" t="s">
        <v>470</v>
      </c>
      <c r="D5" t="str">
        <f>_xlfn.XLOOKUP(C5,'Allow&amp;Disa Exp by Truelayer cat'!$B:$B,'Allow&amp;Disa Exp by Truelayer cat'!$C:$C)</f>
        <v>Review if over &gt;1,000</v>
      </c>
      <c r="E5" s="116" t="str">
        <f>_xlfn.XLOOKUP(C5,'Allow&amp;Disa Exp by Truelayer cat'!$B:$B,'Allow&amp;Disa Exp by Truelayer cat'!$D:$D)</f>
        <v>"Could this be a vehicle purchase?" - If user says no - "Was this purchase for trade purposes?"</v>
      </c>
      <c r="F5" t="str">
        <f>_xlfn.XLOOKUP(C5,'Allow&amp;Disa Exp by Truelayer cat'!$B:$B,'Allow&amp;Disa Exp by Truelayer cat'!$E:$E)</f>
        <v>If Yes to vehicle purchase, then proceed Capital allowancesquestions (in capital allowance page) if yes for trade, deduct from expenses</v>
      </c>
    </row>
    <row r="6" spans="1:8" ht="45" x14ac:dyDescent="0.25">
      <c r="A6" t="s">
        <v>945</v>
      </c>
      <c r="B6" t="s">
        <v>949</v>
      </c>
      <c r="C6" t="s">
        <v>470</v>
      </c>
      <c r="D6" t="str">
        <f>_xlfn.XLOOKUP(C6,'Allow&amp;Disa Exp by Truelayer cat'!$B:$B,'Allow&amp;Disa Exp by Truelayer cat'!$C:$C)</f>
        <v>Review if over &gt;1,000</v>
      </c>
      <c r="E6" s="116" t="str">
        <f>_xlfn.XLOOKUP(C6,'Allow&amp;Disa Exp by Truelayer cat'!$B:$B,'Allow&amp;Disa Exp by Truelayer cat'!$D:$D)</f>
        <v>"Could this be a vehicle purchase?" - If user says no - "Was this purchase for trade purposes?"</v>
      </c>
      <c r="F6" t="str">
        <f>_xlfn.XLOOKUP(C6,'Allow&amp;Disa Exp by Truelayer cat'!$B:$B,'Allow&amp;Disa Exp by Truelayer cat'!$E:$E)</f>
        <v>If Yes to vehicle purchase, then proceed Capital allowancesquestions (in capital allowance page) if yes for trade, deduct from expenses</v>
      </c>
      <c r="H6" s="1" t="s">
        <v>1930</v>
      </c>
    </row>
    <row r="7" spans="1:8" ht="45" x14ac:dyDescent="0.25">
      <c r="A7" t="s">
        <v>945</v>
      </c>
      <c r="B7" t="s">
        <v>950</v>
      </c>
      <c r="C7" t="s">
        <v>470</v>
      </c>
      <c r="D7" t="str">
        <f>_xlfn.XLOOKUP(C7,'Allow&amp;Disa Exp by Truelayer cat'!$B:$B,'Allow&amp;Disa Exp by Truelayer cat'!$C:$C)</f>
        <v>Review if over &gt;1,000</v>
      </c>
      <c r="E7" s="116" t="str">
        <f>_xlfn.XLOOKUP(C7,'Allow&amp;Disa Exp by Truelayer cat'!$B:$B,'Allow&amp;Disa Exp by Truelayer cat'!$D:$D)</f>
        <v>"Could this be a vehicle purchase?" - If user says no - "Was this purchase for trade purposes?"</v>
      </c>
      <c r="F7" t="str">
        <f>_xlfn.XLOOKUP(C7,'Allow&amp;Disa Exp by Truelayer cat'!$B:$B,'Allow&amp;Disa Exp by Truelayer cat'!$E:$E)</f>
        <v>If Yes to vehicle purchase, then proceed Capital allowancesquestions (in capital allowance page) if yes for trade, deduct from expenses</v>
      </c>
      <c r="H7" s="115"/>
    </row>
    <row r="8" spans="1:8" ht="45" x14ac:dyDescent="0.25">
      <c r="A8" t="s">
        <v>945</v>
      </c>
      <c r="B8" t="s">
        <v>951</v>
      </c>
      <c r="C8" t="s">
        <v>470</v>
      </c>
      <c r="D8" t="str">
        <f>_xlfn.XLOOKUP(C8,'Allow&amp;Disa Exp by Truelayer cat'!$B:$B,'Allow&amp;Disa Exp by Truelayer cat'!$C:$C)</f>
        <v>Review if over &gt;1,000</v>
      </c>
      <c r="E8" s="116" t="str">
        <f>_xlfn.XLOOKUP(C8,'Allow&amp;Disa Exp by Truelayer cat'!$B:$B,'Allow&amp;Disa Exp by Truelayer cat'!$D:$D)</f>
        <v>"Could this be a vehicle purchase?" - If user says no - "Was this purchase for trade purposes?"</v>
      </c>
      <c r="F8" t="str">
        <f>_xlfn.XLOOKUP(C8,'Allow&amp;Disa Exp by Truelayer cat'!$B:$B,'Allow&amp;Disa Exp by Truelayer cat'!$E:$E)</f>
        <v>If Yes to vehicle purchase, then proceed Capital allowancesquestions (in capital allowance page) if yes for trade, deduct from expenses</v>
      </c>
      <c r="H8" s="115" t="s">
        <v>1931</v>
      </c>
    </row>
    <row r="9" spans="1:8" ht="45" x14ac:dyDescent="0.25">
      <c r="A9" t="s">
        <v>945</v>
      </c>
      <c r="B9" t="s">
        <v>952</v>
      </c>
      <c r="C9" t="s">
        <v>470</v>
      </c>
      <c r="D9" t="str">
        <f>_xlfn.XLOOKUP(C9,'Allow&amp;Disa Exp by Truelayer cat'!$B:$B,'Allow&amp;Disa Exp by Truelayer cat'!$C:$C)</f>
        <v>Review if over &gt;1,000</v>
      </c>
      <c r="E9" s="116" t="str">
        <f>_xlfn.XLOOKUP(C9,'Allow&amp;Disa Exp by Truelayer cat'!$B:$B,'Allow&amp;Disa Exp by Truelayer cat'!$D:$D)</f>
        <v>"Could this be a vehicle purchase?" - If user says no - "Was this purchase for trade purposes?"</v>
      </c>
      <c r="F9" t="str">
        <f>_xlfn.XLOOKUP(C9,'Allow&amp;Disa Exp by Truelayer cat'!$B:$B,'Allow&amp;Disa Exp by Truelayer cat'!$E:$E)</f>
        <v>If Yes to vehicle purchase, then proceed Capital allowancesquestions (in capital allowance page) if yes for trade, deduct from expenses</v>
      </c>
      <c r="H9" s="115"/>
    </row>
    <row r="10" spans="1:8" ht="45" x14ac:dyDescent="0.25">
      <c r="A10" t="s">
        <v>945</v>
      </c>
      <c r="B10" t="s">
        <v>953</v>
      </c>
      <c r="C10" t="s">
        <v>470</v>
      </c>
      <c r="D10" t="str">
        <f>_xlfn.XLOOKUP(C10,'Allow&amp;Disa Exp by Truelayer cat'!$B:$B,'Allow&amp;Disa Exp by Truelayer cat'!$C:$C)</f>
        <v>Review if over &gt;1,000</v>
      </c>
      <c r="E10" s="116" t="str">
        <f>_xlfn.XLOOKUP(C10,'Allow&amp;Disa Exp by Truelayer cat'!$B:$B,'Allow&amp;Disa Exp by Truelayer cat'!$D:$D)</f>
        <v>"Could this be a vehicle purchase?" - If user says no - "Was this purchase for trade purposes?"</v>
      </c>
      <c r="F10" t="str">
        <f>_xlfn.XLOOKUP(C10,'Allow&amp;Disa Exp by Truelayer cat'!$B:$B,'Allow&amp;Disa Exp by Truelayer cat'!$E:$E)</f>
        <v>If Yes to vehicle purchase, then proceed Capital allowancesquestions (in capital allowance page) if yes for trade, deduct from expenses</v>
      </c>
      <c r="H10" s="115" t="s">
        <v>1932</v>
      </c>
    </row>
    <row r="11" spans="1:8" ht="45" x14ac:dyDescent="0.25">
      <c r="A11" t="s">
        <v>945</v>
      </c>
      <c r="B11" t="s">
        <v>954</v>
      </c>
      <c r="C11" t="s">
        <v>470</v>
      </c>
      <c r="D11" t="str">
        <f>_xlfn.XLOOKUP(C11,'Allow&amp;Disa Exp by Truelayer cat'!$B:$B,'Allow&amp;Disa Exp by Truelayer cat'!$C:$C)</f>
        <v>Review if over &gt;1,000</v>
      </c>
      <c r="E11" s="116" t="str">
        <f>_xlfn.XLOOKUP(C11,'Allow&amp;Disa Exp by Truelayer cat'!$B:$B,'Allow&amp;Disa Exp by Truelayer cat'!$D:$D)</f>
        <v>"Could this be a vehicle purchase?" - If user says no - "Was this purchase for trade purposes?"</v>
      </c>
      <c r="F11" t="str">
        <f>_xlfn.XLOOKUP(C11,'Allow&amp;Disa Exp by Truelayer cat'!$B:$B,'Allow&amp;Disa Exp by Truelayer cat'!$E:$E)</f>
        <v>If Yes to vehicle purchase, then proceed Capital allowancesquestions (in capital allowance page) if yes for trade, deduct from expenses</v>
      </c>
    </row>
    <row r="12" spans="1:8" ht="45" x14ac:dyDescent="0.25">
      <c r="A12" t="s">
        <v>945</v>
      </c>
      <c r="B12" t="s">
        <v>955</v>
      </c>
      <c r="C12" t="s">
        <v>470</v>
      </c>
      <c r="D12" t="str">
        <f>_xlfn.XLOOKUP(C12,'Allow&amp;Disa Exp by Truelayer cat'!$B:$B,'Allow&amp;Disa Exp by Truelayer cat'!$C:$C)</f>
        <v>Review if over &gt;1,000</v>
      </c>
      <c r="E12" s="116" t="str">
        <f>_xlfn.XLOOKUP(C12,'Allow&amp;Disa Exp by Truelayer cat'!$B:$B,'Allow&amp;Disa Exp by Truelayer cat'!$D:$D)</f>
        <v>"Could this be a vehicle purchase?" - If user says no - "Was this purchase for trade purposes?"</v>
      </c>
      <c r="F12" t="str">
        <f>_xlfn.XLOOKUP(C12,'Allow&amp;Disa Exp by Truelayer cat'!$B:$B,'Allow&amp;Disa Exp by Truelayer cat'!$E:$E)</f>
        <v>If Yes to vehicle purchase, then proceed Capital allowancesquestions (in capital allowance page) if yes for trade, deduct from expenses</v>
      </c>
    </row>
    <row r="13" spans="1:8" ht="45" x14ac:dyDescent="0.25">
      <c r="A13" t="s">
        <v>945</v>
      </c>
      <c r="B13" t="s">
        <v>956</v>
      </c>
      <c r="C13" t="s">
        <v>470</v>
      </c>
      <c r="D13" t="str">
        <f>_xlfn.XLOOKUP(C13,'Allow&amp;Disa Exp by Truelayer cat'!$B:$B,'Allow&amp;Disa Exp by Truelayer cat'!$C:$C)</f>
        <v>Review if over &gt;1,000</v>
      </c>
      <c r="E13" s="116" t="str">
        <f>_xlfn.XLOOKUP(C13,'Allow&amp;Disa Exp by Truelayer cat'!$B:$B,'Allow&amp;Disa Exp by Truelayer cat'!$D:$D)</f>
        <v>"Could this be a vehicle purchase?" - If user says no - "Was this purchase for trade purposes?"</v>
      </c>
      <c r="F13" t="str">
        <f>_xlfn.XLOOKUP(C13,'Allow&amp;Disa Exp by Truelayer cat'!$B:$B,'Allow&amp;Disa Exp by Truelayer cat'!$E:$E)</f>
        <v>If Yes to vehicle purchase, then proceed Capital allowancesquestions (in capital allowance page) if yes for trade, deduct from expenses</v>
      </c>
    </row>
    <row r="14" spans="1:8" ht="45" x14ac:dyDescent="0.25">
      <c r="A14" t="s">
        <v>945</v>
      </c>
      <c r="B14" t="s">
        <v>957</v>
      </c>
      <c r="C14" t="s">
        <v>470</v>
      </c>
      <c r="D14" t="str">
        <f>_xlfn.XLOOKUP(C14,'Allow&amp;Disa Exp by Truelayer cat'!$B:$B,'Allow&amp;Disa Exp by Truelayer cat'!$C:$C)</f>
        <v>Review if over &gt;1,000</v>
      </c>
      <c r="E14" s="116" t="str">
        <f>_xlfn.XLOOKUP(C14,'Allow&amp;Disa Exp by Truelayer cat'!$B:$B,'Allow&amp;Disa Exp by Truelayer cat'!$D:$D)</f>
        <v>"Could this be a vehicle purchase?" - If user says no - "Was this purchase for trade purposes?"</v>
      </c>
      <c r="F14" t="str">
        <f>_xlfn.XLOOKUP(C14,'Allow&amp;Disa Exp by Truelayer cat'!$B:$B,'Allow&amp;Disa Exp by Truelayer cat'!$E:$E)</f>
        <v>If Yes to vehicle purchase, then proceed Capital allowancesquestions (in capital allowance page) if yes for trade, deduct from expenses</v>
      </c>
    </row>
    <row r="15" spans="1:8" ht="45" x14ac:dyDescent="0.25">
      <c r="A15" t="s">
        <v>945</v>
      </c>
      <c r="B15" t="s">
        <v>958</v>
      </c>
      <c r="C15" t="s">
        <v>470</v>
      </c>
      <c r="D15" t="str">
        <f>_xlfn.XLOOKUP(C15,'Allow&amp;Disa Exp by Truelayer cat'!$B:$B,'Allow&amp;Disa Exp by Truelayer cat'!$C:$C)</f>
        <v>Review if over &gt;1,000</v>
      </c>
      <c r="E15" s="116" t="str">
        <f>_xlfn.XLOOKUP(C15,'Allow&amp;Disa Exp by Truelayer cat'!$B:$B,'Allow&amp;Disa Exp by Truelayer cat'!$D:$D)</f>
        <v>"Could this be a vehicle purchase?" - If user says no - "Was this purchase for trade purposes?"</v>
      </c>
      <c r="F15" t="str">
        <f>_xlfn.XLOOKUP(C15,'Allow&amp;Disa Exp by Truelayer cat'!$B:$B,'Allow&amp;Disa Exp by Truelayer cat'!$E:$E)</f>
        <v>If Yes to vehicle purchase, then proceed Capital allowancesquestions (in capital allowance page) if yes for trade, deduct from expenses</v>
      </c>
    </row>
    <row r="16" spans="1:8" ht="45" x14ac:dyDescent="0.25">
      <c r="A16" t="s">
        <v>945</v>
      </c>
      <c r="B16" t="s">
        <v>959</v>
      </c>
      <c r="C16" t="s">
        <v>470</v>
      </c>
      <c r="D16" t="str">
        <f>_xlfn.XLOOKUP(C16,'Allow&amp;Disa Exp by Truelayer cat'!$B:$B,'Allow&amp;Disa Exp by Truelayer cat'!$C:$C)</f>
        <v>Review if over &gt;1,000</v>
      </c>
      <c r="E16" s="116" t="str">
        <f>_xlfn.XLOOKUP(C16,'Allow&amp;Disa Exp by Truelayer cat'!$B:$B,'Allow&amp;Disa Exp by Truelayer cat'!$D:$D)</f>
        <v>"Could this be a vehicle purchase?" - If user says no - "Was this purchase for trade purposes?"</v>
      </c>
      <c r="F16" t="str">
        <f>_xlfn.XLOOKUP(C16,'Allow&amp;Disa Exp by Truelayer cat'!$B:$B,'Allow&amp;Disa Exp by Truelayer cat'!$E:$E)</f>
        <v>If Yes to vehicle purchase, then proceed Capital allowancesquestions (in capital allowance page) if yes for trade, deduct from expenses</v>
      </c>
    </row>
    <row r="17" spans="1:6" ht="45" x14ac:dyDescent="0.25">
      <c r="A17" t="s">
        <v>945</v>
      </c>
      <c r="B17" t="s">
        <v>960</v>
      </c>
      <c r="C17" t="s">
        <v>470</v>
      </c>
      <c r="D17" t="str">
        <f>_xlfn.XLOOKUP(C17,'Allow&amp;Disa Exp by Truelayer cat'!$B:$B,'Allow&amp;Disa Exp by Truelayer cat'!$C:$C)</f>
        <v>Review if over &gt;1,000</v>
      </c>
      <c r="E17" s="116" t="str">
        <f>_xlfn.XLOOKUP(C17,'Allow&amp;Disa Exp by Truelayer cat'!$B:$B,'Allow&amp;Disa Exp by Truelayer cat'!$D:$D)</f>
        <v>"Could this be a vehicle purchase?" - If user says no - "Was this purchase for trade purposes?"</v>
      </c>
      <c r="F17" t="str">
        <f>_xlfn.XLOOKUP(C17,'Allow&amp;Disa Exp by Truelayer cat'!$B:$B,'Allow&amp;Disa Exp by Truelayer cat'!$E:$E)</f>
        <v>If Yes to vehicle purchase, then proceed Capital allowancesquestions (in capital allowance page) if yes for trade, deduct from expenses</v>
      </c>
    </row>
    <row r="18" spans="1:6" ht="45" x14ac:dyDescent="0.25">
      <c r="A18" t="s">
        <v>945</v>
      </c>
      <c r="B18" t="s">
        <v>961</v>
      </c>
      <c r="C18" t="s">
        <v>470</v>
      </c>
      <c r="D18" t="str">
        <f>_xlfn.XLOOKUP(C18,'Allow&amp;Disa Exp by Truelayer cat'!$B:$B,'Allow&amp;Disa Exp by Truelayer cat'!$C:$C)</f>
        <v>Review if over &gt;1,000</v>
      </c>
      <c r="E18" s="116" t="str">
        <f>_xlfn.XLOOKUP(C18,'Allow&amp;Disa Exp by Truelayer cat'!$B:$B,'Allow&amp;Disa Exp by Truelayer cat'!$D:$D)</f>
        <v>"Could this be a vehicle purchase?" - If user says no - "Was this purchase for trade purposes?"</v>
      </c>
      <c r="F18" t="str">
        <f>_xlfn.XLOOKUP(C18,'Allow&amp;Disa Exp by Truelayer cat'!$B:$B,'Allow&amp;Disa Exp by Truelayer cat'!$E:$E)</f>
        <v>If Yes to vehicle purchase, then proceed Capital allowancesquestions (in capital allowance page) if yes for trade, deduct from expenses</v>
      </c>
    </row>
    <row r="19" spans="1:6" ht="45" x14ac:dyDescent="0.25">
      <c r="A19" t="s">
        <v>945</v>
      </c>
      <c r="B19" t="s">
        <v>962</v>
      </c>
      <c r="C19" t="s">
        <v>470</v>
      </c>
      <c r="D19" t="str">
        <f>_xlfn.XLOOKUP(C19,'Allow&amp;Disa Exp by Truelayer cat'!$B:$B,'Allow&amp;Disa Exp by Truelayer cat'!$C:$C)</f>
        <v>Review if over &gt;1,000</v>
      </c>
      <c r="E19" s="116" t="str">
        <f>_xlfn.XLOOKUP(C19,'Allow&amp;Disa Exp by Truelayer cat'!$B:$B,'Allow&amp;Disa Exp by Truelayer cat'!$D:$D)</f>
        <v>"Could this be a vehicle purchase?" - If user says no - "Was this purchase for trade purposes?"</v>
      </c>
      <c r="F19" t="str">
        <f>_xlfn.XLOOKUP(C19,'Allow&amp;Disa Exp by Truelayer cat'!$B:$B,'Allow&amp;Disa Exp by Truelayer cat'!$E:$E)</f>
        <v>If Yes to vehicle purchase, then proceed Capital allowancesquestions (in capital allowance page) if yes for trade, deduct from expenses</v>
      </c>
    </row>
    <row r="20" spans="1:6" ht="45" x14ac:dyDescent="0.25">
      <c r="A20" t="s">
        <v>945</v>
      </c>
      <c r="B20" t="s">
        <v>963</v>
      </c>
      <c r="C20" t="s">
        <v>470</v>
      </c>
      <c r="D20" t="str">
        <f>_xlfn.XLOOKUP(C20,'Allow&amp;Disa Exp by Truelayer cat'!$B:$B,'Allow&amp;Disa Exp by Truelayer cat'!$C:$C)</f>
        <v>Review if over &gt;1,000</v>
      </c>
      <c r="E20" s="116" t="str">
        <f>_xlfn.XLOOKUP(C20,'Allow&amp;Disa Exp by Truelayer cat'!$B:$B,'Allow&amp;Disa Exp by Truelayer cat'!$D:$D)</f>
        <v>"Could this be a vehicle purchase?" - If user says no - "Was this purchase for trade purposes?"</v>
      </c>
      <c r="F20" t="str">
        <f>_xlfn.XLOOKUP(C20,'Allow&amp;Disa Exp by Truelayer cat'!$B:$B,'Allow&amp;Disa Exp by Truelayer cat'!$E:$E)</f>
        <v>If Yes to vehicle purchase, then proceed Capital allowancesquestions (in capital allowance page) if yes for trade, deduct from expenses</v>
      </c>
    </row>
    <row r="21" spans="1:6" ht="45" x14ac:dyDescent="0.25">
      <c r="A21" t="s">
        <v>945</v>
      </c>
      <c r="B21" t="s">
        <v>964</v>
      </c>
      <c r="C21" t="s">
        <v>470</v>
      </c>
      <c r="D21" t="str">
        <f>_xlfn.XLOOKUP(C21,'Allow&amp;Disa Exp by Truelayer cat'!$B:$B,'Allow&amp;Disa Exp by Truelayer cat'!$C:$C)</f>
        <v>Review if over &gt;1,000</v>
      </c>
      <c r="E21" s="116" t="str">
        <f>_xlfn.XLOOKUP(C21,'Allow&amp;Disa Exp by Truelayer cat'!$B:$B,'Allow&amp;Disa Exp by Truelayer cat'!$D:$D)</f>
        <v>"Could this be a vehicle purchase?" - If user says no - "Was this purchase for trade purposes?"</v>
      </c>
      <c r="F21" t="str">
        <f>_xlfn.XLOOKUP(C21,'Allow&amp;Disa Exp by Truelayer cat'!$B:$B,'Allow&amp;Disa Exp by Truelayer cat'!$E:$E)</f>
        <v>If Yes to vehicle purchase, then proceed Capital allowancesquestions (in capital allowance page) if yes for trade, deduct from expenses</v>
      </c>
    </row>
    <row r="22" spans="1:6" ht="45" x14ac:dyDescent="0.25">
      <c r="A22" t="s">
        <v>945</v>
      </c>
      <c r="B22" t="s">
        <v>965</v>
      </c>
      <c r="C22" t="s">
        <v>470</v>
      </c>
      <c r="D22" t="str">
        <f>_xlfn.XLOOKUP(C22,'Allow&amp;Disa Exp by Truelayer cat'!$B:$B,'Allow&amp;Disa Exp by Truelayer cat'!$C:$C)</f>
        <v>Review if over &gt;1,000</v>
      </c>
      <c r="E22" s="116" t="str">
        <f>_xlfn.XLOOKUP(C22,'Allow&amp;Disa Exp by Truelayer cat'!$B:$B,'Allow&amp;Disa Exp by Truelayer cat'!$D:$D)</f>
        <v>"Could this be a vehicle purchase?" - If user says no - "Was this purchase for trade purposes?"</v>
      </c>
      <c r="F22" t="str">
        <f>_xlfn.XLOOKUP(C22,'Allow&amp;Disa Exp by Truelayer cat'!$B:$B,'Allow&amp;Disa Exp by Truelayer cat'!$E:$E)</f>
        <v>If Yes to vehicle purchase, then proceed Capital allowancesquestions (in capital allowance page) if yes for trade, deduct from expenses</v>
      </c>
    </row>
    <row r="23" spans="1:6" ht="45" x14ac:dyDescent="0.25">
      <c r="A23" t="s">
        <v>945</v>
      </c>
      <c r="B23" t="s">
        <v>966</v>
      </c>
      <c r="C23" t="s">
        <v>470</v>
      </c>
      <c r="D23" t="str">
        <f>_xlfn.XLOOKUP(C23,'Allow&amp;Disa Exp by Truelayer cat'!$B:$B,'Allow&amp;Disa Exp by Truelayer cat'!$C:$C)</f>
        <v>Review if over &gt;1,000</v>
      </c>
      <c r="E23" s="116" t="str">
        <f>_xlfn.XLOOKUP(C23,'Allow&amp;Disa Exp by Truelayer cat'!$B:$B,'Allow&amp;Disa Exp by Truelayer cat'!$D:$D)</f>
        <v>"Could this be a vehicle purchase?" - If user says no - "Was this purchase for trade purposes?"</v>
      </c>
      <c r="F23" t="str">
        <f>_xlfn.XLOOKUP(C23,'Allow&amp;Disa Exp by Truelayer cat'!$B:$B,'Allow&amp;Disa Exp by Truelayer cat'!$E:$E)</f>
        <v>If Yes to vehicle purchase, then proceed Capital allowancesquestions (in capital allowance page) if yes for trade, deduct from expenses</v>
      </c>
    </row>
    <row r="24" spans="1:6" ht="45" x14ac:dyDescent="0.25">
      <c r="A24" t="s">
        <v>945</v>
      </c>
      <c r="B24" t="s">
        <v>967</v>
      </c>
      <c r="C24" t="s">
        <v>470</v>
      </c>
      <c r="D24" t="str">
        <f>_xlfn.XLOOKUP(C24,'Allow&amp;Disa Exp by Truelayer cat'!$B:$B,'Allow&amp;Disa Exp by Truelayer cat'!$C:$C)</f>
        <v>Review if over &gt;1,000</v>
      </c>
      <c r="E24" s="116" t="str">
        <f>_xlfn.XLOOKUP(C24,'Allow&amp;Disa Exp by Truelayer cat'!$B:$B,'Allow&amp;Disa Exp by Truelayer cat'!$D:$D)</f>
        <v>"Could this be a vehicle purchase?" - If user says no - "Was this purchase for trade purposes?"</v>
      </c>
      <c r="F24" t="str">
        <f>_xlfn.XLOOKUP(C24,'Allow&amp;Disa Exp by Truelayer cat'!$B:$B,'Allow&amp;Disa Exp by Truelayer cat'!$E:$E)</f>
        <v>If Yes to vehicle purchase, then proceed Capital allowancesquestions (in capital allowance page) if yes for trade, deduct from expenses</v>
      </c>
    </row>
    <row r="25" spans="1:6" ht="45" x14ac:dyDescent="0.25">
      <c r="A25" t="s">
        <v>945</v>
      </c>
      <c r="B25" t="s">
        <v>968</v>
      </c>
      <c r="C25" t="s">
        <v>470</v>
      </c>
      <c r="D25" t="str">
        <f>_xlfn.XLOOKUP(C25,'Allow&amp;Disa Exp by Truelayer cat'!$B:$B,'Allow&amp;Disa Exp by Truelayer cat'!$C:$C)</f>
        <v>Review if over &gt;1,000</v>
      </c>
      <c r="E25" s="116" t="str">
        <f>_xlfn.XLOOKUP(C25,'Allow&amp;Disa Exp by Truelayer cat'!$B:$B,'Allow&amp;Disa Exp by Truelayer cat'!$D:$D)</f>
        <v>"Could this be a vehicle purchase?" - If user says no - "Was this purchase for trade purposes?"</v>
      </c>
      <c r="F25" t="str">
        <f>_xlfn.XLOOKUP(C25,'Allow&amp;Disa Exp by Truelayer cat'!$B:$B,'Allow&amp;Disa Exp by Truelayer cat'!$E:$E)</f>
        <v>If Yes to vehicle purchase, then proceed Capital allowancesquestions (in capital allowance page) if yes for trade, deduct from expenses</v>
      </c>
    </row>
    <row r="26" spans="1:6" ht="45" x14ac:dyDescent="0.25">
      <c r="A26" t="s">
        <v>945</v>
      </c>
      <c r="B26" t="s">
        <v>969</v>
      </c>
      <c r="C26" t="s">
        <v>470</v>
      </c>
      <c r="D26" t="str">
        <f>_xlfn.XLOOKUP(C26,'Allow&amp;Disa Exp by Truelayer cat'!$B:$B,'Allow&amp;Disa Exp by Truelayer cat'!$C:$C)</f>
        <v>Review if over &gt;1,000</v>
      </c>
      <c r="E26" s="116" t="str">
        <f>_xlfn.XLOOKUP(C26,'Allow&amp;Disa Exp by Truelayer cat'!$B:$B,'Allow&amp;Disa Exp by Truelayer cat'!$D:$D)</f>
        <v>"Could this be a vehicle purchase?" - If user says no - "Was this purchase for trade purposes?"</v>
      </c>
      <c r="F26" t="str">
        <f>_xlfn.XLOOKUP(C26,'Allow&amp;Disa Exp by Truelayer cat'!$B:$B,'Allow&amp;Disa Exp by Truelayer cat'!$E:$E)</f>
        <v>If Yes to vehicle purchase, then proceed Capital allowancesquestions (in capital allowance page) if yes for trade, deduct from expenses</v>
      </c>
    </row>
    <row r="27" spans="1:6" ht="45" x14ac:dyDescent="0.25">
      <c r="A27" t="s">
        <v>945</v>
      </c>
      <c r="B27" t="s">
        <v>970</v>
      </c>
      <c r="C27" t="s">
        <v>470</v>
      </c>
      <c r="D27" t="str">
        <f>_xlfn.XLOOKUP(C27,'Allow&amp;Disa Exp by Truelayer cat'!$B:$B,'Allow&amp;Disa Exp by Truelayer cat'!$C:$C)</f>
        <v>Review if over &gt;1,000</v>
      </c>
      <c r="E27" s="116" t="str">
        <f>_xlfn.XLOOKUP(C27,'Allow&amp;Disa Exp by Truelayer cat'!$B:$B,'Allow&amp;Disa Exp by Truelayer cat'!$D:$D)</f>
        <v>"Could this be a vehicle purchase?" - If user says no - "Was this purchase for trade purposes?"</v>
      </c>
      <c r="F27" t="str">
        <f>_xlfn.XLOOKUP(C27,'Allow&amp;Disa Exp by Truelayer cat'!$B:$B,'Allow&amp;Disa Exp by Truelayer cat'!$E:$E)</f>
        <v>If Yes to vehicle purchase, then proceed Capital allowancesquestions (in capital allowance page) if yes for trade, deduct from expenses</v>
      </c>
    </row>
    <row r="28" spans="1:6" ht="45" x14ac:dyDescent="0.25">
      <c r="A28" t="s">
        <v>945</v>
      </c>
      <c r="B28" t="s">
        <v>971</v>
      </c>
      <c r="C28" t="s">
        <v>470</v>
      </c>
      <c r="D28" t="str">
        <f>_xlfn.XLOOKUP(C28,'Allow&amp;Disa Exp by Truelayer cat'!$B:$B,'Allow&amp;Disa Exp by Truelayer cat'!$C:$C)</f>
        <v>Review if over &gt;1,000</v>
      </c>
      <c r="E28" s="116" t="str">
        <f>_xlfn.XLOOKUP(C28,'Allow&amp;Disa Exp by Truelayer cat'!$B:$B,'Allow&amp;Disa Exp by Truelayer cat'!$D:$D)</f>
        <v>"Could this be a vehicle purchase?" - If user says no - "Was this purchase for trade purposes?"</v>
      </c>
      <c r="F28" t="str">
        <f>_xlfn.XLOOKUP(C28,'Allow&amp;Disa Exp by Truelayer cat'!$B:$B,'Allow&amp;Disa Exp by Truelayer cat'!$E:$E)</f>
        <v>If Yes to vehicle purchase, then proceed Capital allowancesquestions (in capital allowance page) if yes for trade, deduct from expenses</v>
      </c>
    </row>
    <row r="29" spans="1:6" ht="45" x14ac:dyDescent="0.25">
      <c r="A29" t="s">
        <v>945</v>
      </c>
      <c r="B29" t="s">
        <v>972</v>
      </c>
      <c r="C29" t="s">
        <v>470</v>
      </c>
      <c r="D29" t="str">
        <f>_xlfn.XLOOKUP(C29,'Allow&amp;Disa Exp by Truelayer cat'!$B:$B,'Allow&amp;Disa Exp by Truelayer cat'!$C:$C)</f>
        <v>Review if over &gt;1,000</v>
      </c>
      <c r="E29" s="116" t="str">
        <f>_xlfn.XLOOKUP(C29,'Allow&amp;Disa Exp by Truelayer cat'!$B:$B,'Allow&amp;Disa Exp by Truelayer cat'!$D:$D)</f>
        <v>"Could this be a vehicle purchase?" - If user says no - "Was this purchase for trade purposes?"</v>
      </c>
      <c r="F29" t="str">
        <f>_xlfn.XLOOKUP(C29,'Allow&amp;Disa Exp by Truelayer cat'!$B:$B,'Allow&amp;Disa Exp by Truelayer cat'!$E:$E)</f>
        <v>If Yes to vehicle purchase, then proceed Capital allowancesquestions (in capital allowance page) if yes for trade, deduct from expenses</v>
      </c>
    </row>
    <row r="30" spans="1:6" ht="45" x14ac:dyDescent="0.25">
      <c r="A30" t="s">
        <v>945</v>
      </c>
      <c r="B30" t="s">
        <v>973</v>
      </c>
      <c r="C30" t="s">
        <v>470</v>
      </c>
      <c r="D30" t="str">
        <f>_xlfn.XLOOKUP(C30,'Allow&amp;Disa Exp by Truelayer cat'!$B:$B,'Allow&amp;Disa Exp by Truelayer cat'!$C:$C)</f>
        <v>Review if over &gt;1,000</v>
      </c>
      <c r="E30" s="116" t="str">
        <f>_xlfn.XLOOKUP(C30,'Allow&amp;Disa Exp by Truelayer cat'!$B:$B,'Allow&amp;Disa Exp by Truelayer cat'!$D:$D)</f>
        <v>"Could this be a vehicle purchase?" - If user says no - "Was this purchase for trade purposes?"</v>
      </c>
      <c r="F30" t="str">
        <f>_xlfn.XLOOKUP(C30,'Allow&amp;Disa Exp by Truelayer cat'!$B:$B,'Allow&amp;Disa Exp by Truelayer cat'!$E:$E)</f>
        <v>If Yes to vehicle purchase, then proceed Capital allowancesquestions (in capital allowance page) if yes for trade, deduct from expenses</v>
      </c>
    </row>
    <row r="31" spans="1:6" ht="45" x14ac:dyDescent="0.25">
      <c r="A31" t="s">
        <v>945</v>
      </c>
      <c r="B31" t="s">
        <v>974</v>
      </c>
      <c r="C31" t="s">
        <v>470</v>
      </c>
      <c r="D31" t="str">
        <f>_xlfn.XLOOKUP(C31,'Allow&amp;Disa Exp by Truelayer cat'!$B:$B,'Allow&amp;Disa Exp by Truelayer cat'!$C:$C)</f>
        <v>Review if over &gt;1,000</v>
      </c>
      <c r="E31" s="116" t="str">
        <f>_xlfn.XLOOKUP(C31,'Allow&amp;Disa Exp by Truelayer cat'!$B:$B,'Allow&amp;Disa Exp by Truelayer cat'!$D:$D)</f>
        <v>"Could this be a vehicle purchase?" - If user says no - "Was this purchase for trade purposes?"</v>
      </c>
      <c r="F31" t="str">
        <f>_xlfn.XLOOKUP(C31,'Allow&amp;Disa Exp by Truelayer cat'!$B:$B,'Allow&amp;Disa Exp by Truelayer cat'!$E:$E)</f>
        <v>If Yes to vehicle purchase, then proceed Capital allowancesquestions (in capital allowance page) if yes for trade, deduct from expenses</v>
      </c>
    </row>
    <row r="32" spans="1:6" ht="45" x14ac:dyDescent="0.25">
      <c r="A32" t="s">
        <v>945</v>
      </c>
      <c r="B32" t="s">
        <v>975</v>
      </c>
      <c r="C32" t="s">
        <v>470</v>
      </c>
      <c r="D32" t="str">
        <f>_xlfn.XLOOKUP(C32,'Allow&amp;Disa Exp by Truelayer cat'!$B:$B,'Allow&amp;Disa Exp by Truelayer cat'!$C:$C)</f>
        <v>Review if over &gt;1,000</v>
      </c>
      <c r="E32" s="116" t="str">
        <f>_xlfn.XLOOKUP(C32,'Allow&amp;Disa Exp by Truelayer cat'!$B:$B,'Allow&amp;Disa Exp by Truelayer cat'!$D:$D)</f>
        <v>"Could this be a vehicle purchase?" - If user says no - "Was this purchase for trade purposes?"</v>
      </c>
      <c r="F32" t="str">
        <f>_xlfn.XLOOKUP(C32,'Allow&amp;Disa Exp by Truelayer cat'!$B:$B,'Allow&amp;Disa Exp by Truelayer cat'!$E:$E)</f>
        <v>If Yes to vehicle purchase, then proceed Capital allowancesquestions (in capital allowance page) if yes for trade, deduct from expenses</v>
      </c>
    </row>
    <row r="33" spans="1:6" ht="45" x14ac:dyDescent="0.25">
      <c r="A33" t="s">
        <v>945</v>
      </c>
      <c r="B33" t="s">
        <v>976</v>
      </c>
      <c r="C33" t="s">
        <v>470</v>
      </c>
      <c r="D33" t="str">
        <f>_xlfn.XLOOKUP(C33,'Allow&amp;Disa Exp by Truelayer cat'!$B:$B,'Allow&amp;Disa Exp by Truelayer cat'!$C:$C)</f>
        <v>Review if over &gt;1,000</v>
      </c>
      <c r="E33" s="116" t="str">
        <f>_xlfn.XLOOKUP(C33,'Allow&amp;Disa Exp by Truelayer cat'!$B:$B,'Allow&amp;Disa Exp by Truelayer cat'!$D:$D)</f>
        <v>"Could this be a vehicle purchase?" - If user says no - "Was this purchase for trade purposes?"</v>
      </c>
      <c r="F33" t="str">
        <f>_xlfn.XLOOKUP(C33,'Allow&amp;Disa Exp by Truelayer cat'!$B:$B,'Allow&amp;Disa Exp by Truelayer cat'!$E:$E)</f>
        <v>If Yes to vehicle purchase, then proceed Capital allowancesquestions (in capital allowance page) if yes for trade, deduct from expenses</v>
      </c>
    </row>
    <row r="34" spans="1:6" ht="45" x14ac:dyDescent="0.25">
      <c r="A34" t="s">
        <v>945</v>
      </c>
      <c r="B34" t="s">
        <v>977</v>
      </c>
      <c r="C34" t="s">
        <v>470</v>
      </c>
      <c r="D34" t="str">
        <f>_xlfn.XLOOKUP(C34,'Allow&amp;Disa Exp by Truelayer cat'!$B:$B,'Allow&amp;Disa Exp by Truelayer cat'!$C:$C)</f>
        <v>Review if over &gt;1,000</v>
      </c>
      <c r="E34" s="116" t="str">
        <f>_xlfn.XLOOKUP(C34,'Allow&amp;Disa Exp by Truelayer cat'!$B:$B,'Allow&amp;Disa Exp by Truelayer cat'!$D:$D)</f>
        <v>"Could this be a vehicle purchase?" - If user says no - "Was this purchase for trade purposes?"</v>
      </c>
      <c r="F34" t="str">
        <f>_xlfn.XLOOKUP(C34,'Allow&amp;Disa Exp by Truelayer cat'!$B:$B,'Allow&amp;Disa Exp by Truelayer cat'!$E:$E)</f>
        <v>If Yes to vehicle purchase, then proceed Capital allowancesquestions (in capital allowance page) if yes for trade, deduct from expenses</v>
      </c>
    </row>
    <row r="35" spans="1:6" ht="45" x14ac:dyDescent="0.25">
      <c r="A35" t="s">
        <v>945</v>
      </c>
      <c r="B35" t="s">
        <v>978</v>
      </c>
      <c r="C35" t="s">
        <v>470</v>
      </c>
      <c r="D35" t="str">
        <f>_xlfn.XLOOKUP(C35,'Allow&amp;Disa Exp by Truelayer cat'!$B:$B,'Allow&amp;Disa Exp by Truelayer cat'!$C:$C)</f>
        <v>Review if over &gt;1,000</v>
      </c>
      <c r="E35" s="116" t="str">
        <f>_xlfn.XLOOKUP(C35,'Allow&amp;Disa Exp by Truelayer cat'!$B:$B,'Allow&amp;Disa Exp by Truelayer cat'!$D:$D)</f>
        <v>"Could this be a vehicle purchase?" - If user says no - "Was this purchase for trade purposes?"</v>
      </c>
      <c r="F35" t="str">
        <f>_xlfn.XLOOKUP(C35,'Allow&amp;Disa Exp by Truelayer cat'!$B:$B,'Allow&amp;Disa Exp by Truelayer cat'!$E:$E)</f>
        <v>If Yes to vehicle purchase, then proceed Capital allowancesquestions (in capital allowance page) if yes for trade, deduct from expenses</v>
      </c>
    </row>
    <row r="36" spans="1:6" ht="45" x14ac:dyDescent="0.25">
      <c r="A36" t="s">
        <v>945</v>
      </c>
      <c r="B36" t="s">
        <v>979</v>
      </c>
      <c r="C36" t="s">
        <v>470</v>
      </c>
      <c r="D36" t="str">
        <f>_xlfn.XLOOKUP(C36,'Allow&amp;Disa Exp by Truelayer cat'!$B:$B,'Allow&amp;Disa Exp by Truelayer cat'!$C:$C)</f>
        <v>Review if over &gt;1,000</v>
      </c>
      <c r="E36" s="116" t="str">
        <f>_xlfn.XLOOKUP(C36,'Allow&amp;Disa Exp by Truelayer cat'!$B:$B,'Allow&amp;Disa Exp by Truelayer cat'!$D:$D)</f>
        <v>"Could this be a vehicle purchase?" - If user says no - "Was this purchase for trade purposes?"</v>
      </c>
      <c r="F36" t="str">
        <f>_xlfn.XLOOKUP(C36,'Allow&amp;Disa Exp by Truelayer cat'!$B:$B,'Allow&amp;Disa Exp by Truelayer cat'!$E:$E)</f>
        <v>If Yes to vehicle purchase, then proceed Capital allowancesquestions (in capital allowance page) if yes for trade, deduct from expenses</v>
      </c>
    </row>
    <row r="37" spans="1:6" ht="45" x14ac:dyDescent="0.25">
      <c r="A37" t="s">
        <v>945</v>
      </c>
      <c r="B37" t="s">
        <v>980</v>
      </c>
      <c r="C37" t="s">
        <v>470</v>
      </c>
      <c r="D37" t="str">
        <f>_xlfn.XLOOKUP(C37,'Allow&amp;Disa Exp by Truelayer cat'!$B:$B,'Allow&amp;Disa Exp by Truelayer cat'!$C:$C)</f>
        <v>Review if over &gt;1,000</v>
      </c>
      <c r="E37" s="116" t="str">
        <f>_xlfn.XLOOKUP(C37,'Allow&amp;Disa Exp by Truelayer cat'!$B:$B,'Allow&amp;Disa Exp by Truelayer cat'!$D:$D)</f>
        <v>"Could this be a vehicle purchase?" - If user says no - "Was this purchase for trade purposes?"</v>
      </c>
      <c r="F37" t="str">
        <f>_xlfn.XLOOKUP(C37,'Allow&amp;Disa Exp by Truelayer cat'!$B:$B,'Allow&amp;Disa Exp by Truelayer cat'!$E:$E)</f>
        <v>If Yes to vehicle purchase, then proceed Capital allowancesquestions (in capital allowance page) if yes for trade, deduct from expenses</v>
      </c>
    </row>
    <row r="38" spans="1:6" ht="45" x14ac:dyDescent="0.25">
      <c r="A38" t="s">
        <v>945</v>
      </c>
      <c r="B38" t="s">
        <v>981</v>
      </c>
      <c r="C38" t="s">
        <v>470</v>
      </c>
      <c r="D38" t="str">
        <f>_xlfn.XLOOKUP(C38,'Allow&amp;Disa Exp by Truelayer cat'!$B:$B,'Allow&amp;Disa Exp by Truelayer cat'!$C:$C)</f>
        <v>Review if over &gt;1,000</v>
      </c>
      <c r="E38" s="116" t="str">
        <f>_xlfn.XLOOKUP(C38,'Allow&amp;Disa Exp by Truelayer cat'!$B:$B,'Allow&amp;Disa Exp by Truelayer cat'!$D:$D)</f>
        <v>"Could this be a vehicle purchase?" - If user says no - "Was this purchase for trade purposes?"</v>
      </c>
      <c r="F38" t="str">
        <f>_xlfn.XLOOKUP(C38,'Allow&amp;Disa Exp by Truelayer cat'!$B:$B,'Allow&amp;Disa Exp by Truelayer cat'!$E:$E)</f>
        <v>If Yes to vehicle purchase, then proceed Capital allowancesquestions (in capital allowance page) if yes for trade, deduct from expenses</v>
      </c>
    </row>
    <row r="39" spans="1:6" ht="45" x14ac:dyDescent="0.25">
      <c r="A39" t="s">
        <v>945</v>
      </c>
      <c r="B39" t="s">
        <v>982</v>
      </c>
      <c r="C39" t="s">
        <v>470</v>
      </c>
      <c r="D39" t="str">
        <f>_xlfn.XLOOKUP(C39,'Allow&amp;Disa Exp by Truelayer cat'!$B:$B,'Allow&amp;Disa Exp by Truelayer cat'!$C:$C)</f>
        <v>Review if over &gt;1,000</v>
      </c>
      <c r="E39" s="116" t="str">
        <f>_xlfn.XLOOKUP(C39,'Allow&amp;Disa Exp by Truelayer cat'!$B:$B,'Allow&amp;Disa Exp by Truelayer cat'!$D:$D)</f>
        <v>"Could this be a vehicle purchase?" - If user says no - "Was this purchase for trade purposes?"</v>
      </c>
      <c r="F39" t="str">
        <f>_xlfn.XLOOKUP(C39,'Allow&amp;Disa Exp by Truelayer cat'!$B:$B,'Allow&amp;Disa Exp by Truelayer cat'!$E:$E)</f>
        <v>If Yes to vehicle purchase, then proceed Capital allowancesquestions (in capital allowance page) if yes for trade, deduct from expenses</v>
      </c>
    </row>
    <row r="40" spans="1:6" ht="45" x14ac:dyDescent="0.25">
      <c r="A40" t="s">
        <v>945</v>
      </c>
      <c r="B40" t="s">
        <v>983</v>
      </c>
      <c r="C40" t="s">
        <v>470</v>
      </c>
      <c r="D40" t="str">
        <f>_xlfn.XLOOKUP(C40,'Allow&amp;Disa Exp by Truelayer cat'!$B:$B,'Allow&amp;Disa Exp by Truelayer cat'!$C:$C)</f>
        <v>Review if over &gt;1,000</v>
      </c>
      <c r="E40" s="116" t="str">
        <f>_xlfn.XLOOKUP(C40,'Allow&amp;Disa Exp by Truelayer cat'!$B:$B,'Allow&amp;Disa Exp by Truelayer cat'!$D:$D)</f>
        <v>"Could this be a vehicle purchase?" - If user says no - "Was this purchase for trade purposes?"</v>
      </c>
      <c r="F40" t="str">
        <f>_xlfn.XLOOKUP(C40,'Allow&amp;Disa Exp by Truelayer cat'!$B:$B,'Allow&amp;Disa Exp by Truelayer cat'!$E:$E)</f>
        <v>If Yes to vehicle purchase, then proceed Capital allowancesquestions (in capital allowance page) if yes for trade, deduct from expenses</v>
      </c>
    </row>
    <row r="41" spans="1:6" ht="45" x14ac:dyDescent="0.25">
      <c r="A41" t="s">
        <v>945</v>
      </c>
      <c r="B41" t="s">
        <v>984</v>
      </c>
      <c r="C41" t="s">
        <v>470</v>
      </c>
      <c r="D41" t="str">
        <f>_xlfn.XLOOKUP(C41,'Allow&amp;Disa Exp by Truelayer cat'!$B:$B,'Allow&amp;Disa Exp by Truelayer cat'!$C:$C)</f>
        <v>Review if over &gt;1,000</v>
      </c>
      <c r="E41" s="116" t="str">
        <f>_xlfn.XLOOKUP(C41,'Allow&amp;Disa Exp by Truelayer cat'!$B:$B,'Allow&amp;Disa Exp by Truelayer cat'!$D:$D)</f>
        <v>"Could this be a vehicle purchase?" - If user says no - "Was this purchase for trade purposes?"</v>
      </c>
      <c r="F41" t="str">
        <f>_xlfn.XLOOKUP(C41,'Allow&amp;Disa Exp by Truelayer cat'!$B:$B,'Allow&amp;Disa Exp by Truelayer cat'!$E:$E)</f>
        <v>If Yes to vehicle purchase, then proceed Capital allowancesquestions (in capital allowance page) if yes for trade, deduct from expenses</v>
      </c>
    </row>
    <row r="42" spans="1:6" ht="45" x14ac:dyDescent="0.25">
      <c r="A42" t="s">
        <v>945</v>
      </c>
      <c r="B42" t="s">
        <v>985</v>
      </c>
      <c r="C42" t="s">
        <v>470</v>
      </c>
      <c r="D42" t="str">
        <f>_xlfn.XLOOKUP(C42,'Allow&amp;Disa Exp by Truelayer cat'!$B:$B,'Allow&amp;Disa Exp by Truelayer cat'!$C:$C)</f>
        <v>Review if over &gt;1,000</v>
      </c>
      <c r="E42" s="116" t="str">
        <f>_xlfn.XLOOKUP(C42,'Allow&amp;Disa Exp by Truelayer cat'!$B:$B,'Allow&amp;Disa Exp by Truelayer cat'!$D:$D)</f>
        <v>"Could this be a vehicle purchase?" - If user says no - "Was this purchase for trade purposes?"</v>
      </c>
      <c r="F42" t="str">
        <f>_xlfn.XLOOKUP(C42,'Allow&amp;Disa Exp by Truelayer cat'!$B:$B,'Allow&amp;Disa Exp by Truelayer cat'!$E:$E)</f>
        <v>If Yes to vehicle purchase, then proceed Capital allowancesquestions (in capital allowance page) if yes for trade, deduct from expenses</v>
      </c>
    </row>
    <row r="43" spans="1:6" ht="45" x14ac:dyDescent="0.25">
      <c r="A43" t="s">
        <v>945</v>
      </c>
      <c r="B43" t="s">
        <v>986</v>
      </c>
      <c r="C43" t="s">
        <v>470</v>
      </c>
      <c r="D43" t="str">
        <f>_xlfn.XLOOKUP(C43,'Allow&amp;Disa Exp by Truelayer cat'!$B:$B,'Allow&amp;Disa Exp by Truelayer cat'!$C:$C)</f>
        <v>Review if over &gt;1,000</v>
      </c>
      <c r="E43" s="116" t="str">
        <f>_xlfn.XLOOKUP(C43,'Allow&amp;Disa Exp by Truelayer cat'!$B:$B,'Allow&amp;Disa Exp by Truelayer cat'!$D:$D)</f>
        <v>"Could this be a vehicle purchase?" - If user says no - "Was this purchase for trade purposes?"</v>
      </c>
      <c r="F43" t="str">
        <f>_xlfn.XLOOKUP(C43,'Allow&amp;Disa Exp by Truelayer cat'!$B:$B,'Allow&amp;Disa Exp by Truelayer cat'!$E:$E)</f>
        <v>If Yes to vehicle purchase, then proceed Capital allowancesquestions (in capital allowance page) if yes for trade, deduct from expenses</v>
      </c>
    </row>
    <row r="44" spans="1:6" ht="45" x14ac:dyDescent="0.25">
      <c r="A44" t="s">
        <v>945</v>
      </c>
      <c r="B44" t="s">
        <v>987</v>
      </c>
      <c r="C44" t="s">
        <v>470</v>
      </c>
      <c r="D44" t="str">
        <f>_xlfn.XLOOKUP(C44,'Allow&amp;Disa Exp by Truelayer cat'!$B:$B,'Allow&amp;Disa Exp by Truelayer cat'!$C:$C)</f>
        <v>Review if over &gt;1,000</v>
      </c>
      <c r="E44" s="116" t="str">
        <f>_xlfn.XLOOKUP(C44,'Allow&amp;Disa Exp by Truelayer cat'!$B:$B,'Allow&amp;Disa Exp by Truelayer cat'!$D:$D)</f>
        <v>"Could this be a vehicle purchase?" - If user says no - "Was this purchase for trade purposes?"</v>
      </c>
      <c r="F44" t="str">
        <f>_xlfn.XLOOKUP(C44,'Allow&amp;Disa Exp by Truelayer cat'!$B:$B,'Allow&amp;Disa Exp by Truelayer cat'!$E:$E)</f>
        <v>If Yes to vehicle purchase, then proceed Capital allowancesquestions (in capital allowance page) if yes for trade, deduct from expenses</v>
      </c>
    </row>
    <row r="45" spans="1:6" ht="45" x14ac:dyDescent="0.25">
      <c r="A45" t="s">
        <v>945</v>
      </c>
      <c r="B45" t="s">
        <v>988</v>
      </c>
      <c r="C45" t="s">
        <v>470</v>
      </c>
      <c r="D45" t="str">
        <f>_xlfn.XLOOKUP(C45,'Allow&amp;Disa Exp by Truelayer cat'!$B:$B,'Allow&amp;Disa Exp by Truelayer cat'!$C:$C)</f>
        <v>Review if over &gt;1,000</v>
      </c>
      <c r="E45" s="116" t="str">
        <f>_xlfn.XLOOKUP(C45,'Allow&amp;Disa Exp by Truelayer cat'!$B:$B,'Allow&amp;Disa Exp by Truelayer cat'!$D:$D)</f>
        <v>"Could this be a vehicle purchase?" - If user says no - "Was this purchase for trade purposes?"</v>
      </c>
      <c r="F45" t="str">
        <f>_xlfn.XLOOKUP(C45,'Allow&amp;Disa Exp by Truelayer cat'!$B:$B,'Allow&amp;Disa Exp by Truelayer cat'!$E:$E)</f>
        <v>If Yes to vehicle purchase, then proceed Capital allowancesquestions (in capital allowance page) if yes for trade, deduct from expenses</v>
      </c>
    </row>
    <row r="46" spans="1:6" ht="45" x14ac:dyDescent="0.25">
      <c r="A46" t="s">
        <v>945</v>
      </c>
      <c r="B46" t="s">
        <v>989</v>
      </c>
      <c r="C46" t="s">
        <v>470</v>
      </c>
      <c r="D46" t="str">
        <f>_xlfn.XLOOKUP(C46,'Allow&amp;Disa Exp by Truelayer cat'!$B:$B,'Allow&amp;Disa Exp by Truelayer cat'!$C:$C)</f>
        <v>Review if over &gt;1,000</v>
      </c>
      <c r="E46" s="116" t="str">
        <f>_xlfn.XLOOKUP(C46,'Allow&amp;Disa Exp by Truelayer cat'!$B:$B,'Allow&amp;Disa Exp by Truelayer cat'!$D:$D)</f>
        <v>"Could this be a vehicle purchase?" - If user says no - "Was this purchase for trade purposes?"</v>
      </c>
      <c r="F46" t="str">
        <f>_xlfn.XLOOKUP(C46,'Allow&amp;Disa Exp by Truelayer cat'!$B:$B,'Allow&amp;Disa Exp by Truelayer cat'!$E:$E)</f>
        <v>If Yes to vehicle purchase, then proceed Capital allowancesquestions (in capital allowance page) if yes for trade, deduct from expenses</v>
      </c>
    </row>
    <row r="47" spans="1:6" ht="45" x14ac:dyDescent="0.25">
      <c r="A47" t="s">
        <v>945</v>
      </c>
      <c r="B47" t="s">
        <v>990</v>
      </c>
      <c r="C47" t="s">
        <v>470</v>
      </c>
      <c r="D47" t="str">
        <f>_xlfn.XLOOKUP(C47,'Allow&amp;Disa Exp by Truelayer cat'!$B:$B,'Allow&amp;Disa Exp by Truelayer cat'!$C:$C)</f>
        <v>Review if over &gt;1,000</v>
      </c>
      <c r="E47" s="116" t="str">
        <f>_xlfn.XLOOKUP(C47,'Allow&amp;Disa Exp by Truelayer cat'!$B:$B,'Allow&amp;Disa Exp by Truelayer cat'!$D:$D)</f>
        <v>"Could this be a vehicle purchase?" - If user says no - "Was this purchase for trade purposes?"</v>
      </c>
      <c r="F47" t="str">
        <f>_xlfn.XLOOKUP(C47,'Allow&amp;Disa Exp by Truelayer cat'!$B:$B,'Allow&amp;Disa Exp by Truelayer cat'!$E:$E)</f>
        <v>If Yes to vehicle purchase, then proceed Capital allowancesquestions (in capital allowance page) if yes for trade, deduct from expenses</v>
      </c>
    </row>
    <row r="48" spans="1:6" ht="45" x14ac:dyDescent="0.25">
      <c r="A48" t="s">
        <v>945</v>
      </c>
      <c r="B48" t="s">
        <v>991</v>
      </c>
      <c r="C48" t="s">
        <v>470</v>
      </c>
      <c r="D48" t="str">
        <f>_xlfn.XLOOKUP(C48,'Allow&amp;Disa Exp by Truelayer cat'!$B:$B,'Allow&amp;Disa Exp by Truelayer cat'!$C:$C)</f>
        <v>Review if over &gt;1,000</v>
      </c>
      <c r="E48" s="116" t="str">
        <f>_xlfn.XLOOKUP(C48,'Allow&amp;Disa Exp by Truelayer cat'!$B:$B,'Allow&amp;Disa Exp by Truelayer cat'!$D:$D)</f>
        <v>"Could this be a vehicle purchase?" - If user says no - "Was this purchase for trade purposes?"</v>
      </c>
      <c r="F48" t="str">
        <f>_xlfn.XLOOKUP(C48,'Allow&amp;Disa Exp by Truelayer cat'!$B:$B,'Allow&amp;Disa Exp by Truelayer cat'!$E:$E)</f>
        <v>If Yes to vehicle purchase, then proceed Capital allowancesquestions (in capital allowance page) if yes for trade, deduct from expenses</v>
      </c>
    </row>
    <row r="49" spans="1:6" ht="45" x14ac:dyDescent="0.25">
      <c r="A49" t="s">
        <v>945</v>
      </c>
      <c r="B49" t="s">
        <v>992</v>
      </c>
      <c r="C49" t="s">
        <v>470</v>
      </c>
      <c r="D49" t="str">
        <f>_xlfn.XLOOKUP(C49,'Allow&amp;Disa Exp by Truelayer cat'!$B:$B,'Allow&amp;Disa Exp by Truelayer cat'!$C:$C)</f>
        <v>Review if over &gt;1,000</v>
      </c>
      <c r="E49" s="116" t="str">
        <f>_xlfn.XLOOKUP(C49,'Allow&amp;Disa Exp by Truelayer cat'!$B:$B,'Allow&amp;Disa Exp by Truelayer cat'!$D:$D)</f>
        <v>"Could this be a vehicle purchase?" - If user says no - "Was this purchase for trade purposes?"</v>
      </c>
      <c r="F49" t="str">
        <f>_xlfn.XLOOKUP(C49,'Allow&amp;Disa Exp by Truelayer cat'!$B:$B,'Allow&amp;Disa Exp by Truelayer cat'!$E:$E)</f>
        <v>If Yes to vehicle purchase, then proceed Capital allowancesquestions (in capital allowance page) if yes for trade, deduct from expenses</v>
      </c>
    </row>
    <row r="50" spans="1:6" ht="45" x14ac:dyDescent="0.25">
      <c r="A50" t="s">
        <v>945</v>
      </c>
      <c r="B50" t="s">
        <v>993</v>
      </c>
      <c r="C50" t="s">
        <v>470</v>
      </c>
      <c r="D50" t="str">
        <f>_xlfn.XLOOKUP(C50,'Allow&amp;Disa Exp by Truelayer cat'!$B:$B,'Allow&amp;Disa Exp by Truelayer cat'!$C:$C)</f>
        <v>Review if over &gt;1,000</v>
      </c>
      <c r="E50" s="116" t="str">
        <f>_xlfn.XLOOKUP(C50,'Allow&amp;Disa Exp by Truelayer cat'!$B:$B,'Allow&amp;Disa Exp by Truelayer cat'!$D:$D)</f>
        <v>"Could this be a vehicle purchase?" - If user says no - "Was this purchase for trade purposes?"</v>
      </c>
      <c r="F50" t="str">
        <f>_xlfn.XLOOKUP(C50,'Allow&amp;Disa Exp by Truelayer cat'!$B:$B,'Allow&amp;Disa Exp by Truelayer cat'!$E:$E)</f>
        <v>If Yes to vehicle purchase, then proceed Capital allowancesquestions (in capital allowance page) if yes for trade, deduct from expenses</v>
      </c>
    </row>
    <row r="51" spans="1:6" ht="45" x14ac:dyDescent="0.25">
      <c r="A51" t="s">
        <v>945</v>
      </c>
      <c r="B51" t="s">
        <v>994</v>
      </c>
      <c r="C51" t="s">
        <v>470</v>
      </c>
      <c r="D51" t="str">
        <f>_xlfn.XLOOKUP(C51,'Allow&amp;Disa Exp by Truelayer cat'!$B:$B,'Allow&amp;Disa Exp by Truelayer cat'!$C:$C)</f>
        <v>Review if over &gt;1,000</v>
      </c>
      <c r="E51" s="116" t="str">
        <f>_xlfn.XLOOKUP(C51,'Allow&amp;Disa Exp by Truelayer cat'!$B:$B,'Allow&amp;Disa Exp by Truelayer cat'!$D:$D)</f>
        <v>"Could this be a vehicle purchase?" - If user says no - "Was this purchase for trade purposes?"</v>
      </c>
      <c r="F51" t="str">
        <f>_xlfn.XLOOKUP(C51,'Allow&amp;Disa Exp by Truelayer cat'!$B:$B,'Allow&amp;Disa Exp by Truelayer cat'!$E:$E)</f>
        <v>If Yes to vehicle purchase, then proceed Capital allowancesquestions (in capital allowance page) if yes for trade, deduct from expenses</v>
      </c>
    </row>
    <row r="52" spans="1:6" ht="45" x14ac:dyDescent="0.25">
      <c r="A52" t="s">
        <v>945</v>
      </c>
      <c r="B52" t="s">
        <v>995</v>
      </c>
      <c r="C52" t="s">
        <v>470</v>
      </c>
      <c r="D52" t="str">
        <f>_xlfn.XLOOKUP(C52,'Allow&amp;Disa Exp by Truelayer cat'!$B:$B,'Allow&amp;Disa Exp by Truelayer cat'!$C:$C)</f>
        <v>Review if over &gt;1,000</v>
      </c>
      <c r="E52" s="116" t="str">
        <f>_xlfn.XLOOKUP(C52,'Allow&amp;Disa Exp by Truelayer cat'!$B:$B,'Allow&amp;Disa Exp by Truelayer cat'!$D:$D)</f>
        <v>"Could this be a vehicle purchase?" - If user says no - "Was this purchase for trade purposes?"</v>
      </c>
      <c r="F52" t="str">
        <f>_xlfn.XLOOKUP(C52,'Allow&amp;Disa Exp by Truelayer cat'!$B:$B,'Allow&amp;Disa Exp by Truelayer cat'!$E:$E)</f>
        <v>If Yes to vehicle purchase, then proceed Capital allowancesquestions (in capital allowance page) if yes for trade, deduct from expenses</v>
      </c>
    </row>
    <row r="53" spans="1:6" ht="45" x14ac:dyDescent="0.25">
      <c r="A53" t="s">
        <v>945</v>
      </c>
      <c r="B53" t="s">
        <v>996</v>
      </c>
      <c r="C53" t="s">
        <v>470</v>
      </c>
      <c r="D53" t="str">
        <f>_xlfn.XLOOKUP(C53,'Allow&amp;Disa Exp by Truelayer cat'!$B:$B,'Allow&amp;Disa Exp by Truelayer cat'!$C:$C)</f>
        <v>Review if over &gt;1,000</v>
      </c>
      <c r="E53" s="116" t="str">
        <f>_xlfn.XLOOKUP(C53,'Allow&amp;Disa Exp by Truelayer cat'!$B:$B,'Allow&amp;Disa Exp by Truelayer cat'!$D:$D)</f>
        <v>"Could this be a vehicle purchase?" - If user says no - "Was this purchase for trade purposes?"</v>
      </c>
      <c r="F53" t="str">
        <f>_xlfn.XLOOKUP(C53,'Allow&amp;Disa Exp by Truelayer cat'!$B:$B,'Allow&amp;Disa Exp by Truelayer cat'!$E:$E)</f>
        <v>If Yes to vehicle purchase, then proceed Capital allowancesquestions (in capital allowance page) if yes for trade, deduct from expenses</v>
      </c>
    </row>
    <row r="54" spans="1:6" ht="45" x14ac:dyDescent="0.25">
      <c r="A54" t="s">
        <v>945</v>
      </c>
      <c r="B54" t="s">
        <v>997</v>
      </c>
      <c r="C54" t="s">
        <v>470</v>
      </c>
      <c r="D54" t="str">
        <f>_xlfn.XLOOKUP(C54,'Allow&amp;Disa Exp by Truelayer cat'!$B:$B,'Allow&amp;Disa Exp by Truelayer cat'!$C:$C)</f>
        <v>Review if over &gt;1,000</v>
      </c>
      <c r="E54" s="116" t="str">
        <f>_xlfn.XLOOKUP(C54,'Allow&amp;Disa Exp by Truelayer cat'!$B:$B,'Allow&amp;Disa Exp by Truelayer cat'!$D:$D)</f>
        <v>"Could this be a vehicle purchase?" - If user says no - "Was this purchase for trade purposes?"</v>
      </c>
      <c r="F54" t="str">
        <f>_xlfn.XLOOKUP(C54,'Allow&amp;Disa Exp by Truelayer cat'!$B:$B,'Allow&amp;Disa Exp by Truelayer cat'!$E:$E)</f>
        <v>If Yes to vehicle purchase, then proceed Capital allowancesquestions (in capital allowance page) if yes for trade, deduct from expenses</v>
      </c>
    </row>
    <row r="55" spans="1:6" ht="45" x14ac:dyDescent="0.25">
      <c r="A55" t="s">
        <v>998</v>
      </c>
      <c r="B55" t="s">
        <v>999</v>
      </c>
      <c r="C55" t="s">
        <v>470</v>
      </c>
      <c r="D55" t="str">
        <f>_xlfn.XLOOKUP(C55,'Allow&amp;Disa Exp by Truelayer cat'!$B:$B,'Allow&amp;Disa Exp by Truelayer cat'!$C:$C)</f>
        <v>Review if over &gt;1,000</v>
      </c>
      <c r="E55" s="116" t="str">
        <f>_xlfn.XLOOKUP(C55,'Allow&amp;Disa Exp by Truelayer cat'!$B:$B,'Allow&amp;Disa Exp by Truelayer cat'!$D:$D)</f>
        <v>"Could this be a vehicle purchase?" - If user says no - "Was this purchase for trade purposes?"</v>
      </c>
      <c r="F55" t="str">
        <f>_xlfn.XLOOKUP(C55,'Allow&amp;Disa Exp by Truelayer cat'!$B:$B,'Allow&amp;Disa Exp by Truelayer cat'!$E:$E)</f>
        <v>If Yes to vehicle purchase, then proceed Capital allowancesquestions (in capital allowance page) if yes for trade, deduct from expenses</v>
      </c>
    </row>
    <row r="56" spans="1:6" ht="45" x14ac:dyDescent="0.25">
      <c r="A56" t="s">
        <v>998</v>
      </c>
      <c r="B56" t="s">
        <v>1000</v>
      </c>
      <c r="C56" t="s">
        <v>470</v>
      </c>
      <c r="D56" t="str">
        <f>_xlfn.XLOOKUP(C56,'Allow&amp;Disa Exp by Truelayer cat'!$B:$B,'Allow&amp;Disa Exp by Truelayer cat'!$C:$C)</f>
        <v>Review if over &gt;1,000</v>
      </c>
      <c r="E56" s="116" t="str">
        <f>_xlfn.XLOOKUP(C56,'Allow&amp;Disa Exp by Truelayer cat'!$B:$B,'Allow&amp;Disa Exp by Truelayer cat'!$D:$D)</f>
        <v>"Could this be a vehicle purchase?" - If user says no - "Was this purchase for trade purposes?"</v>
      </c>
      <c r="F56" t="str">
        <f>_xlfn.XLOOKUP(C56,'Allow&amp;Disa Exp by Truelayer cat'!$B:$B,'Allow&amp;Disa Exp by Truelayer cat'!$E:$E)</f>
        <v>If Yes to vehicle purchase, then proceed Capital allowancesquestions (in capital allowance page) if yes for trade, deduct from expenses</v>
      </c>
    </row>
    <row r="57" spans="1:6" ht="45" x14ac:dyDescent="0.25">
      <c r="A57" t="s">
        <v>998</v>
      </c>
      <c r="B57" t="s">
        <v>1001</v>
      </c>
      <c r="C57" t="s">
        <v>470</v>
      </c>
      <c r="D57" t="str">
        <f>_xlfn.XLOOKUP(C57,'Allow&amp;Disa Exp by Truelayer cat'!$B:$B,'Allow&amp;Disa Exp by Truelayer cat'!$C:$C)</f>
        <v>Review if over &gt;1,000</v>
      </c>
      <c r="E57" s="116" t="str">
        <f>_xlfn.XLOOKUP(C57,'Allow&amp;Disa Exp by Truelayer cat'!$B:$B,'Allow&amp;Disa Exp by Truelayer cat'!$D:$D)</f>
        <v>"Could this be a vehicle purchase?" - If user says no - "Was this purchase for trade purposes?"</v>
      </c>
      <c r="F57" t="str">
        <f>_xlfn.XLOOKUP(C57,'Allow&amp;Disa Exp by Truelayer cat'!$B:$B,'Allow&amp;Disa Exp by Truelayer cat'!$E:$E)</f>
        <v>If Yes to vehicle purchase, then proceed Capital allowancesquestions (in capital allowance page) if yes for trade, deduct from expenses</v>
      </c>
    </row>
    <row r="58" spans="1:6" ht="45" x14ac:dyDescent="0.25">
      <c r="A58" t="s">
        <v>998</v>
      </c>
      <c r="B58" t="s">
        <v>1002</v>
      </c>
      <c r="C58" t="s">
        <v>470</v>
      </c>
      <c r="D58" t="str">
        <f>_xlfn.XLOOKUP(C58,'Allow&amp;Disa Exp by Truelayer cat'!$B:$B,'Allow&amp;Disa Exp by Truelayer cat'!$C:$C)</f>
        <v>Review if over &gt;1,000</v>
      </c>
      <c r="E58" s="116" t="str">
        <f>_xlfn.XLOOKUP(C58,'Allow&amp;Disa Exp by Truelayer cat'!$B:$B,'Allow&amp;Disa Exp by Truelayer cat'!$D:$D)</f>
        <v>"Could this be a vehicle purchase?" - If user says no - "Was this purchase for trade purposes?"</v>
      </c>
      <c r="F58" t="str">
        <f>_xlfn.XLOOKUP(C58,'Allow&amp;Disa Exp by Truelayer cat'!$B:$B,'Allow&amp;Disa Exp by Truelayer cat'!$E:$E)</f>
        <v>If Yes to vehicle purchase, then proceed Capital allowancesquestions (in capital allowance page) if yes for trade, deduct from expenses</v>
      </c>
    </row>
    <row r="59" spans="1:6" ht="45" x14ac:dyDescent="0.25">
      <c r="A59" t="s">
        <v>998</v>
      </c>
      <c r="B59" t="s">
        <v>1003</v>
      </c>
      <c r="C59" t="s">
        <v>470</v>
      </c>
      <c r="D59" t="str">
        <f>_xlfn.XLOOKUP(C59,'Allow&amp;Disa Exp by Truelayer cat'!$B:$B,'Allow&amp;Disa Exp by Truelayer cat'!$C:$C)</f>
        <v>Review if over &gt;1,000</v>
      </c>
      <c r="E59" s="116" t="str">
        <f>_xlfn.XLOOKUP(C59,'Allow&amp;Disa Exp by Truelayer cat'!$B:$B,'Allow&amp;Disa Exp by Truelayer cat'!$D:$D)</f>
        <v>"Could this be a vehicle purchase?" - If user says no - "Was this purchase for trade purposes?"</v>
      </c>
      <c r="F59" t="str">
        <f>_xlfn.XLOOKUP(C59,'Allow&amp;Disa Exp by Truelayer cat'!$B:$B,'Allow&amp;Disa Exp by Truelayer cat'!$E:$E)</f>
        <v>If Yes to vehicle purchase, then proceed Capital allowancesquestions (in capital allowance page) if yes for trade, deduct from expenses</v>
      </c>
    </row>
    <row r="60" spans="1:6" ht="45" x14ac:dyDescent="0.25">
      <c r="A60" t="s">
        <v>998</v>
      </c>
      <c r="B60" t="s">
        <v>1004</v>
      </c>
      <c r="C60" t="s">
        <v>470</v>
      </c>
      <c r="D60" t="str">
        <f>_xlfn.XLOOKUP(C60,'Allow&amp;Disa Exp by Truelayer cat'!$B:$B,'Allow&amp;Disa Exp by Truelayer cat'!$C:$C)</f>
        <v>Review if over &gt;1,000</v>
      </c>
      <c r="E60" s="116" t="str">
        <f>_xlfn.XLOOKUP(C60,'Allow&amp;Disa Exp by Truelayer cat'!$B:$B,'Allow&amp;Disa Exp by Truelayer cat'!$D:$D)</f>
        <v>"Could this be a vehicle purchase?" - If user says no - "Was this purchase for trade purposes?"</v>
      </c>
      <c r="F60" t="str">
        <f>_xlfn.XLOOKUP(C60,'Allow&amp;Disa Exp by Truelayer cat'!$B:$B,'Allow&amp;Disa Exp by Truelayer cat'!$E:$E)</f>
        <v>If Yes to vehicle purchase, then proceed Capital allowancesquestions (in capital allowance page) if yes for trade, deduct from expenses</v>
      </c>
    </row>
    <row r="61" spans="1:6" ht="45" x14ac:dyDescent="0.25">
      <c r="A61" t="s">
        <v>998</v>
      </c>
      <c r="B61" t="s">
        <v>1005</v>
      </c>
      <c r="C61" t="s">
        <v>470</v>
      </c>
      <c r="D61" t="str">
        <f>_xlfn.XLOOKUP(C61,'Allow&amp;Disa Exp by Truelayer cat'!$B:$B,'Allow&amp;Disa Exp by Truelayer cat'!$C:$C)</f>
        <v>Review if over &gt;1,000</v>
      </c>
      <c r="E61" s="116" t="str">
        <f>_xlfn.XLOOKUP(C61,'Allow&amp;Disa Exp by Truelayer cat'!$B:$B,'Allow&amp;Disa Exp by Truelayer cat'!$D:$D)</f>
        <v>"Could this be a vehicle purchase?" - If user says no - "Was this purchase for trade purposes?"</v>
      </c>
      <c r="F61" t="str">
        <f>_xlfn.XLOOKUP(C61,'Allow&amp;Disa Exp by Truelayer cat'!$B:$B,'Allow&amp;Disa Exp by Truelayer cat'!$E:$E)</f>
        <v>If Yes to vehicle purchase, then proceed Capital allowancesquestions (in capital allowance page) if yes for trade, deduct from expenses</v>
      </c>
    </row>
    <row r="62" spans="1:6" ht="45" x14ac:dyDescent="0.25">
      <c r="A62" t="s">
        <v>998</v>
      </c>
      <c r="B62" t="s">
        <v>1006</v>
      </c>
      <c r="C62" t="s">
        <v>470</v>
      </c>
      <c r="D62" t="str">
        <f>_xlfn.XLOOKUP(C62,'Allow&amp;Disa Exp by Truelayer cat'!$B:$B,'Allow&amp;Disa Exp by Truelayer cat'!$C:$C)</f>
        <v>Review if over &gt;1,000</v>
      </c>
      <c r="E62" s="116" t="str">
        <f>_xlfn.XLOOKUP(C62,'Allow&amp;Disa Exp by Truelayer cat'!$B:$B,'Allow&amp;Disa Exp by Truelayer cat'!$D:$D)</f>
        <v>"Could this be a vehicle purchase?" - If user says no - "Was this purchase for trade purposes?"</v>
      </c>
      <c r="F62" t="str">
        <f>_xlfn.XLOOKUP(C62,'Allow&amp;Disa Exp by Truelayer cat'!$B:$B,'Allow&amp;Disa Exp by Truelayer cat'!$E:$E)</f>
        <v>If Yes to vehicle purchase, then proceed Capital allowancesquestions (in capital allowance page) if yes for trade, deduct from expenses</v>
      </c>
    </row>
    <row r="63" spans="1:6" x14ac:dyDescent="0.25">
      <c r="A63" t="s">
        <v>1007</v>
      </c>
      <c r="B63" t="s">
        <v>1008</v>
      </c>
      <c r="C63" t="s">
        <v>476</v>
      </c>
      <c r="D63" t="str">
        <f>_xlfn.XLOOKUP(C63,'Allow&amp;Disa Exp by Truelayer cat'!$B:$B,'Allow&amp;Disa Exp by Truelayer cat'!$C:$C)</f>
        <v>Allowable</v>
      </c>
      <c r="E63" s="116">
        <f>_xlfn.XLOOKUP(C63,'Allow&amp;Disa Exp by Truelayer cat'!$B:$B,'Allow&amp;Disa Exp by Truelayer cat'!$D:$D)</f>
        <v>0</v>
      </c>
      <c r="F63" t="str">
        <f>_xlfn.XLOOKUP(C63,'Allow&amp;Disa Exp by Truelayer cat'!$B:$B,'Allow&amp;Disa Exp by Truelayer cat'!$E:$E)</f>
        <v>Deduct from expenses</v>
      </c>
    </row>
    <row r="64" spans="1:6" x14ac:dyDescent="0.25">
      <c r="A64" t="s">
        <v>1007</v>
      </c>
      <c r="B64" t="s">
        <v>1009</v>
      </c>
      <c r="C64" t="s">
        <v>476</v>
      </c>
      <c r="D64" t="str">
        <f>_xlfn.XLOOKUP(C64,'Allow&amp;Disa Exp by Truelayer cat'!$B:$B,'Allow&amp;Disa Exp by Truelayer cat'!$C:$C)</f>
        <v>Allowable</v>
      </c>
      <c r="E64" s="116">
        <f>_xlfn.XLOOKUP(C64,'Allow&amp;Disa Exp by Truelayer cat'!$B:$B,'Allow&amp;Disa Exp by Truelayer cat'!$D:$D)</f>
        <v>0</v>
      </c>
      <c r="F64" t="str">
        <f>_xlfn.XLOOKUP(C64,'Allow&amp;Disa Exp by Truelayer cat'!$B:$B,'Allow&amp;Disa Exp by Truelayer cat'!$E:$E)</f>
        <v>Deduct from expenses</v>
      </c>
    </row>
    <row r="65" spans="1:6" x14ac:dyDescent="0.25">
      <c r="A65" t="s">
        <v>1007</v>
      </c>
      <c r="B65" t="s">
        <v>1010</v>
      </c>
      <c r="C65" t="s">
        <v>476</v>
      </c>
      <c r="D65" t="str">
        <f>_xlfn.XLOOKUP(C65,'Allow&amp;Disa Exp by Truelayer cat'!$B:$B,'Allow&amp;Disa Exp by Truelayer cat'!$C:$C)</f>
        <v>Allowable</v>
      </c>
      <c r="E65" s="116">
        <f>_xlfn.XLOOKUP(C65,'Allow&amp;Disa Exp by Truelayer cat'!$B:$B,'Allow&amp;Disa Exp by Truelayer cat'!$D:$D)</f>
        <v>0</v>
      </c>
      <c r="F65" t="str">
        <f>_xlfn.XLOOKUP(C65,'Allow&amp;Disa Exp by Truelayer cat'!$B:$B,'Allow&amp;Disa Exp by Truelayer cat'!$E:$E)</f>
        <v>Deduct from expenses</v>
      </c>
    </row>
    <row r="66" spans="1:6" x14ac:dyDescent="0.25">
      <c r="A66" t="s">
        <v>1007</v>
      </c>
      <c r="B66" t="s">
        <v>1011</v>
      </c>
      <c r="C66" t="s">
        <v>476</v>
      </c>
      <c r="D66" t="str">
        <f>_xlfn.XLOOKUP(C66,'Allow&amp;Disa Exp by Truelayer cat'!$B:$B,'Allow&amp;Disa Exp by Truelayer cat'!$C:$C)</f>
        <v>Allowable</v>
      </c>
      <c r="E66" s="116">
        <f>_xlfn.XLOOKUP(C66,'Allow&amp;Disa Exp by Truelayer cat'!$B:$B,'Allow&amp;Disa Exp by Truelayer cat'!$D:$D)</f>
        <v>0</v>
      </c>
      <c r="F66" t="str">
        <f>_xlfn.XLOOKUP(C66,'Allow&amp;Disa Exp by Truelayer cat'!$B:$B,'Allow&amp;Disa Exp by Truelayer cat'!$E:$E)</f>
        <v>Deduct from expenses</v>
      </c>
    </row>
    <row r="67" spans="1:6" x14ac:dyDescent="0.25">
      <c r="A67" t="s">
        <v>1007</v>
      </c>
      <c r="B67" t="s">
        <v>1011</v>
      </c>
      <c r="C67" t="s">
        <v>476</v>
      </c>
      <c r="D67" t="str">
        <f>_xlfn.XLOOKUP(C67,'Allow&amp;Disa Exp by Truelayer cat'!$B:$B,'Allow&amp;Disa Exp by Truelayer cat'!$C:$C)</f>
        <v>Allowable</v>
      </c>
      <c r="E67" s="116">
        <f>_xlfn.XLOOKUP(C67,'Allow&amp;Disa Exp by Truelayer cat'!$B:$B,'Allow&amp;Disa Exp by Truelayer cat'!$D:$D)</f>
        <v>0</v>
      </c>
      <c r="F67" t="str">
        <f>_xlfn.XLOOKUP(C67,'Allow&amp;Disa Exp by Truelayer cat'!$B:$B,'Allow&amp;Disa Exp by Truelayer cat'!$E:$E)</f>
        <v>Deduct from expenses</v>
      </c>
    </row>
    <row r="68" spans="1:6" x14ac:dyDescent="0.25">
      <c r="A68" t="s">
        <v>1007</v>
      </c>
      <c r="B68" t="s">
        <v>1012</v>
      </c>
      <c r="C68" t="s">
        <v>476</v>
      </c>
      <c r="D68" t="str">
        <f>_xlfn.XLOOKUP(C68,'Allow&amp;Disa Exp by Truelayer cat'!$B:$B,'Allow&amp;Disa Exp by Truelayer cat'!$C:$C)</f>
        <v>Allowable</v>
      </c>
      <c r="E68" s="116">
        <f>_xlfn.XLOOKUP(C68,'Allow&amp;Disa Exp by Truelayer cat'!$B:$B,'Allow&amp;Disa Exp by Truelayer cat'!$D:$D)</f>
        <v>0</v>
      </c>
      <c r="F68" t="str">
        <f>_xlfn.XLOOKUP(C68,'Allow&amp;Disa Exp by Truelayer cat'!$B:$B,'Allow&amp;Disa Exp by Truelayer cat'!$E:$E)</f>
        <v>Deduct from expenses</v>
      </c>
    </row>
    <row r="69" spans="1:6" x14ac:dyDescent="0.25">
      <c r="A69" t="s">
        <v>1007</v>
      </c>
      <c r="B69" t="s">
        <v>1013</v>
      </c>
      <c r="C69" t="s">
        <v>476</v>
      </c>
      <c r="D69" t="str">
        <f>_xlfn.XLOOKUP(C69,'Allow&amp;Disa Exp by Truelayer cat'!$B:$B,'Allow&amp;Disa Exp by Truelayer cat'!$C:$C)</f>
        <v>Allowable</v>
      </c>
      <c r="E69" s="116">
        <f>_xlfn.XLOOKUP(C69,'Allow&amp;Disa Exp by Truelayer cat'!$B:$B,'Allow&amp;Disa Exp by Truelayer cat'!$D:$D)</f>
        <v>0</v>
      </c>
      <c r="F69" t="str">
        <f>_xlfn.XLOOKUP(C69,'Allow&amp;Disa Exp by Truelayer cat'!$B:$B,'Allow&amp;Disa Exp by Truelayer cat'!$E:$E)</f>
        <v>Deduct from expenses</v>
      </c>
    </row>
    <row r="70" spans="1:6" x14ac:dyDescent="0.25">
      <c r="A70" t="s">
        <v>1007</v>
      </c>
      <c r="B70" t="s">
        <v>1014</v>
      </c>
      <c r="C70" t="s">
        <v>476</v>
      </c>
      <c r="D70" t="str">
        <f>_xlfn.XLOOKUP(C70,'Allow&amp;Disa Exp by Truelayer cat'!$B:$B,'Allow&amp;Disa Exp by Truelayer cat'!$C:$C)</f>
        <v>Allowable</v>
      </c>
      <c r="E70" s="116">
        <f>_xlfn.XLOOKUP(C70,'Allow&amp;Disa Exp by Truelayer cat'!$B:$B,'Allow&amp;Disa Exp by Truelayer cat'!$D:$D)</f>
        <v>0</v>
      </c>
      <c r="F70" t="str">
        <f>_xlfn.XLOOKUP(C70,'Allow&amp;Disa Exp by Truelayer cat'!$B:$B,'Allow&amp;Disa Exp by Truelayer cat'!$E:$E)</f>
        <v>Deduct from expenses</v>
      </c>
    </row>
    <row r="71" spans="1:6" x14ac:dyDescent="0.25">
      <c r="A71" t="s">
        <v>1007</v>
      </c>
      <c r="B71" t="s">
        <v>1015</v>
      </c>
      <c r="C71" t="s">
        <v>476</v>
      </c>
      <c r="D71" t="str">
        <f>_xlfn.XLOOKUP(C71,'Allow&amp;Disa Exp by Truelayer cat'!$B:$B,'Allow&amp;Disa Exp by Truelayer cat'!$C:$C)</f>
        <v>Allowable</v>
      </c>
      <c r="E71" s="116">
        <f>_xlfn.XLOOKUP(C71,'Allow&amp;Disa Exp by Truelayer cat'!$B:$B,'Allow&amp;Disa Exp by Truelayer cat'!$D:$D)</f>
        <v>0</v>
      </c>
      <c r="F71" t="str">
        <f>_xlfn.XLOOKUP(C71,'Allow&amp;Disa Exp by Truelayer cat'!$B:$B,'Allow&amp;Disa Exp by Truelayer cat'!$E:$E)</f>
        <v>Deduct from expenses</v>
      </c>
    </row>
    <row r="72" spans="1:6" x14ac:dyDescent="0.25">
      <c r="A72" t="s">
        <v>1007</v>
      </c>
      <c r="B72" t="s">
        <v>1016</v>
      </c>
      <c r="C72" t="s">
        <v>476</v>
      </c>
      <c r="D72" t="str">
        <f>_xlfn.XLOOKUP(C72,'Allow&amp;Disa Exp by Truelayer cat'!$B:$B,'Allow&amp;Disa Exp by Truelayer cat'!$C:$C)</f>
        <v>Allowable</v>
      </c>
      <c r="E72" s="116">
        <f>_xlfn.XLOOKUP(C72,'Allow&amp;Disa Exp by Truelayer cat'!$B:$B,'Allow&amp;Disa Exp by Truelayer cat'!$D:$D)</f>
        <v>0</v>
      </c>
      <c r="F72" t="str">
        <f>_xlfn.XLOOKUP(C72,'Allow&amp;Disa Exp by Truelayer cat'!$B:$B,'Allow&amp;Disa Exp by Truelayer cat'!$E:$E)</f>
        <v>Deduct from expenses</v>
      </c>
    </row>
    <row r="73" spans="1:6" x14ac:dyDescent="0.25">
      <c r="A73" t="s">
        <v>1007</v>
      </c>
      <c r="B73" t="s">
        <v>1017</v>
      </c>
      <c r="C73" t="s">
        <v>476</v>
      </c>
      <c r="D73" t="str">
        <f>_xlfn.XLOOKUP(C73,'Allow&amp;Disa Exp by Truelayer cat'!$B:$B,'Allow&amp;Disa Exp by Truelayer cat'!$C:$C)</f>
        <v>Allowable</v>
      </c>
      <c r="E73" s="116">
        <f>_xlfn.XLOOKUP(C73,'Allow&amp;Disa Exp by Truelayer cat'!$B:$B,'Allow&amp;Disa Exp by Truelayer cat'!$D:$D)</f>
        <v>0</v>
      </c>
      <c r="F73" t="str">
        <f>_xlfn.XLOOKUP(C73,'Allow&amp;Disa Exp by Truelayer cat'!$B:$B,'Allow&amp;Disa Exp by Truelayer cat'!$E:$E)</f>
        <v>Deduct from expenses</v>
      </c>
    </row>
    <row r="74" spans="1:6" x14ac:dyDescent="0.25">
      <c r="A74" t="s">
        <v>1007</v>
      </c>
      <c r="B74" t="s">
        <v>1018</v>
      </c>
      <c r="C74" t="s">
        <v>476</v>
      </c>
      <c r="D74" t="str">
        <f>_xlfn.XLOOKUP(C74,'Allow&amp;Disa Exp by Truelayer cat'!$B:$B,'Allow&amp;Disa Exp by Truelayer cat'!$C:$C)</f>
        <v>Allowable</v>
      </c>
      <c r="E74" s="116">
        <f>_xlfn.XLOOKUP(C74,'Allow&amp;Disa Exp by Truelayer cat'!$B:$B,'Allow&amp;Disa Exp by Truelayer cat'!$D:$D)</f>
        <v>0</v>
      </c>
      <c r="F74" t="str">
        <f>_xlfn.XLOOKUP(C74,'Allow&amp;Disa Exp by Truelayer cat'!$B:$B,'Allow&amp;Disa Exp by Truelayer cat'!$E:$E)</f>
        <v>Deduct from expenses</v>
      </c>
    </row>
    <row r="75" spans="1:6" ht="45" x14ac:dyDescent="0.25">
      <c r="A75" t="s">
        <v>1007</v>
      </c>
      <c r="B75" t="s">
        <v>1019</v>
      </c>
      <c r="C75" t="s">
        <v>470</v>
      </c>
      <c r="D75" t="str">
        <f>_xlfn.XLOOKUP(C75,'Allow&amp;Disa Exp by Truelayer cat'!$B:$B,'Allow&amp;Disa Exp by Truelayer cat'!$C:$C)</f>
        <v>Review if over &gt;1,000</v>
      </c>
      <c r="E75" s="116" t="str">
        <f>_xlfn.XLOOKUP(C75,'Allow&amp;Disa Exp by Truelayer cat'!$B:$B,'Allow&amp;Disa Exp by Truelayer cat'!$D:$D)</f>
        <v>"Could this be a vehicle purchase?" - If user says no - "Was this purchase for trade purposes?"</v>
      </c>
      <c r="F75" t="str">
        <f>_xlfn.XLOOKUP(C75,'Allow&amp;Disa Exp by Truelayer cat'!$B:$B,'Allow&amp;Disa Exp by Truelayer cat'!$E:$E)</f>
        <v>If Yes to vehicle purchase, then proceed Capital allowancesquestions (in capital allowance page) if yes for trade, deduct from expenses</v>
      </c>
    </row>
    <row r="76" spans="1:6" ht="45" x14ac:dyDescent="0.25">
      <c r="A76" t="s">
        <v>1007</v>
      </c>
      <c r="B76" t="s">
        <v>1020</v>
      </c>
      <c r="C76" t="s">
        <v>470</v>
      </c>
      <c r="D76" t="str">
        <f>_xlfn.XLOOKUP(C76,'Allow&amp;Disa Exp by Truelayer cat'!$B:$B,'Allow&amp;Disa Exp by Truelayer cat'!$C:$C)</f>
        <v>Review if over &gt;1,000</v>
      </c>
      <c r="E76" s="116" t="str">
        <f>_xlfn.XLOOKUP(C76,'Allow&amp;Disa Exp by Truelayer cat'!$B:$B,'Allow&amp;Disa Exp by Truelayer cat'!$D:$D)</f>
        <v>"Could this be a vehicle purchase?" - If user says no - "Was this purchase for trade purposes?"</v>
      </c>
      <c r="F76" t="str">
        <f>_xlfn.XLOOKUP(C76,'Allow&amp;Disa Exp by Truelayer cat'!$B:$B,'Allow&amp;Disa Exp by Truelayer cat'!$E:$E)</f>
        <v>If Yes to vehicle purchase, then proceed Capital allowancesquestions (in capital allowance page) if yes for trade, deduct from expenses</v>
      </c>
    </row>
    <row r="77" spans="1:6" x14ac:dyDescent="0.25">
      <c r="A77" t="s">
        <v>1021</v>
      </c>
      <c r="B77" t="s">
        <v>1022</v>
      </c>
      <c r="C77" t="s">
        <v>476</v>
      </c>
      <c r="D77" t="str">
        <f>_xlfn.XLOOKUP(C77,'Allow&amp;Disa Exp by Truelayer cat'!$B:$B,'Allow&amp;Disa Exp by Truelayer cat'!$C:$C)</f>
        <v>Allowable</v>
      </c>
      <c r="E77" s="116">
        <f>_xlfn.XLOOKUP(C77,'Allow&amp;Disa Exp by Truelayer cat'!$B:$B,'Allow&amp;Disa Exp by Truelayer cat'!$D:$D)</f>
        <v>0</v>
      </c>
      <c r="F77" t="str">
        <f>_xlfn.XLOOKUP(C77,'Allow&amp;Disa Exp by Truelayer cat'!$B:$B,'Allow&amp;Disa Exp by Truelayer cat'!$E:$E)</f>
        <v>Deduct from expenses</v>
      </c>
    </row>
    <row r="78" spans="1:6" x14ac:dyDescent="0.25">
      <c r="A78" t="s">
        <v>1021</v>
      </c>
      <c r="B78" t="s">
        <v>1023</v>
      </c>
      <c r="C78" t="s">
        <v>476</v>
      </c>
      <c r="D78" t="str">
        <f>_xlfn.XLOOKUP(C78,'Allow&amp;Disa Exp by Truelayer cat'!$B:$B,'Allow&amp;Disa Exp by Truelayer cat'!$C:$C)</f>
        <v>Allowable</v>
      </c>
      <c r="E78" s="116">
        <f>_xlfn.XLOOKUP(C78,'Allow&amp;Disa Exp by Truelayer cat'!$B:$B,'Allow&amp;Disa Exp by Truelayer cat'!$D:$D)</f>
        <v>0</v>
      </c>
      <c r="F78" t="str">
        <f>_xlfn.XLOOKUP(C78,'Allow&amp;Disa Exp by Truelayer cat'!$B:$B,'Allow&amp;Disa Exp by Truelayer cat'!$E:$E)</f>
        <v>Deduct from expenses</v>
      </c>
    </row>
    <row r="79" spans="1:6" x14ac:dyDescent="0.25">
      <c r="A79" t="s">
        <v>1021</v>
      </c>
      <c r="B79" t="s">
        <v>1024</v>
      </c>
      <c r="C79" t="s">
        <v>476</v>
      </c>
      <c r="D79" t="str">
        <f>_xlfn.XLOOKUP(C79,'Allow&amp;Disa Exp by Truelayer cat'!$B:$B,'Allow&amp;Disa Exp by Truelayer cat'!$C:$C)</f>
        <v>Allowable</v>
      </c>
      <c r="E79" s="116">
        <f>_xlfn.XLOOKUP(C79,'Allow&amp;Disa Exp by Truelayer cat'!$B:$B,'Allow&amp;Disa Exp by Truelayer cat'!$D:$D)</f>
        <v>0</v>
      </c>
      <c r="F79" t="str">
        <f>_xlfn.XLOOKUP(C79,'Allow&amp;Disa Exp by Truelayer cat'!$B:$B,'Allow&amp;Disa Exp by Truelayer cat'!$E:$E)</f>
        <v>Deduct from expenses</v>
      </c>
    </row>
    <row r="80" spans="1:6" x14ac:dyDescent="0.25">
      <c r="A80" t="s">
        <v>1021</v>
      </c>
      <c r="B80" t="s">
        <v>1025</v>
      </c>
      <c r="C80" t="s">
        <v>476</v>
      </c>
      <c r="D80" t="str">
        <f>_xlfn.XLOOKUP(C80,'Allow&amp;Disa Exp by Truelayer cat'!$B:$B,'Allow&amp;Disa Exp by Truelayer cat'!$C:$C)</f>
        <v>Allowable</v>
      </c>
      <c r="E80" s="116">
        <f>_xlfn.XLOOKUP(C80,'Allow&amp;Disa Exp by Truelayer cat'!$B:$B,'Allow&amp;Disa Exp by Truelayer cat'!$D:$D)</f>
        <v>0</v>
      </c>
      <c r="F80" t="str">
        <f>_xlfn.XLOOKUP(C80,'Allow&amp;Disa Exp by Truelayer cat'!$B:$B,'Allow&amp;Disa Exp by Truelayer cat'!$E:$E)</f>
        <v>Deduct from expenses</v>
      </c>
    </row>
    <row r="81" spans="1:6" x14ac:dyDescent="0.25">
      <c r="A81" t="s">
        <v>1021</v>
      </c>
      <c r="B81" t="s">
        <v>1026</v>
      </c>
      <c r="C81" t="s">
        <v>476</v>
      </c>
      <c r="D81" t="str">
        <f>_xlfn.XLOOKUP(C81,'Allow&amp;Disa Exp by Truelayer cat'!$B:$B,'Allow&amp;Disa Exp by Truelayer cat'!$C:$C)</f>
        <v>Allowable</v>
      </c>
      <c r="E81" s="116">
        <f>_xlfn.XLOOKUP(C81,'Allow&amp;Disa Exp by Truelayer cat'!$B:$B,'Allow&amp;Disa Exp by Truelayer cat'!$D:$D)</f>
        <v>0</v>
      </c>
      <c r="F81" t="str">
        <f>_xlfn.XLOOKUP(C81,'Allow&amp;Disa Exp by Truelayer cat'!$B:$B,'Allow&amp;Disa Exp by Truelayer cat'!$E:$E)</f>
        <v>Deduct from expenses</v>
      </c>
    </row>
    <row r="82" spans="1:6" x14ac:dyDescent="0.25">
      <c r="A82" t="s">
        <v>1021</v>
      </c>
      <c r="B82" t="s">
        <v>1027</v>
      </c>
      <c r="C82" t="s">
        <v>476</v>
      </c>
      <c r="D82" t="str">
        <f>_xlfn.XLOOKUP(C82,'Allow&amp;Disa Exp by Truelayer cat'!$B:$B,'Allow&amp;Disa Exp by Truelayer cat'!$C:$C)</f>
        <v>Allowable</v>
      </c>
      <c r="E82" s="116">
        <f>_xlfn.XLOOKUP(C82,'Allow&amp;Disa Exp by Truelayer cat'!$B:$B,'Allow&amp;Disa Exp by Truelayer cat'!$D:$D)</f>
        <v>0</v>
      </c>
      <c r="F82" t="str">
        <f>_xlfn.XLOOKUP(C82,'Allow&amp;Disa Exp by Truelayer cat'!$B:$B,'Allow&amp;Disa Exp by Truelayer cat'!$E:$E)</f>
        <v>Deduct from expenses</v>
      </c>
    </row>
    <row r="83" spans="1:6" x14ac:dyDescent="0.25">
      <c r="A83" t="s">
        <v>1021</v>
      </c>
      <c r="B83" t="s">
        <v>1028</v>
      </c>
      <c r="C83" t="s">
        <v>476</v>
      </c>
      <c r="D83" t="str">
        <f>_xlfn.XLOOKUP(C83,'Allow&amp;Disa Exp by Truelayer cat'!$B:$B,'Allow&amp;Disa Exp by Truelayer cat'!$C:$C)</f>
        <v>Allowable</v>
      </c>
      <c r="E83" s="116">
        <f>_xlfn.XLOOKUP(C83,'Allow&amp;Disa Exp by Truelayer cat'!$B:$B,'Allow&amp;Disa Exp by Truelayer cat'!$D:$D)</f>
        <v>0</v>
      </c>
      <c r="F83" t="str">
        <f>_xlfn.XLOOKUP(C83,'Allow&amp;Disa Exp by Truelayer cat'!$B:$B,'Allow&amp;Disa Exp by Truelayer cat'!$E:$E)</f>
        <v>Deduct from expenses</v>
      </c>
    </row>
    <row r="84" spans="1:6" x14ac:dyDescent="0.25">
      <c r="A84" t="s">
        <v>1021</v>
      </c>
      <c r="B84" t="s">
        <v>1029</v>
      </c>
      <c r="C84" t="s">
        <v>476</v>
      </c>
      <c r="D84" t="str">
        <f>_xlfn.XLOOKUP(C84,'Allow&amp;Disa Exp by Truelayer cat'!$B:$B,'Allow&amp;Disa Exp by Truelayer cat'!$C:$C)</f>
        <v>Allowable</v>
      </c>
      <c r="E84" s="116">
        <f>_xlfn.XLOOKUP(C84,'Allow&amp;Disa Exp by Truelayer cat'!$B:$B,'Allow&amp;Disa Exp by Truelayer cat'!$D:$D)</f>
        <v>0</v>
      </c>
      <c r="F84" t="str">
        <f>_xlfn.XLOOKUP(C84,'Allow&amp;Disa Exp by Truelayer cat'!$B:$B,'Allow&amp;Disa Exp by Truelayer cat'!$E:$E)</f>
        <v>Deduct from expenses</v>
      </c>
    </row>
    <row r="85" spans="1:6" x14ac:dyDescent="0.25">
      <c r="A85" t="s">
        <v>1021</v>
      </c>
      <c r="B85" t="s">
        <v>1030</v>
      </c>
      <c r="C85" t="s">
        <v>476</v>
      </c>
      <c r="D85" t="str">
        <f>_xlfn.XLOOKUP(C85,'Allow&amp;Disa Exp by Truelayer cat'!$B:$B,'Allow&amp;Disa Exp by Truelayer cat'!$C:$C)</f>
        <v>Allowable</v>
      </c>
      <c r="E85" s="116">
        <f>_xlfn.XLOOKUP(C85,'Allow&amp;Disa Exp by Truelayer cat'!$B:$B,'Allow&amp;Disa Exp by Truelayer cat'!$D:$D)</f>
        <v>0</v>
      </c>
      <c r="F85" t="str">
        <f>_xlfn.XLOOKUP(C85,'Allow&amp;Disa Exp by Truelayer cat'!$B:$B,'Allow&amp;Disa Exp by Truelayer cat'!$E:$E)</f>
        <v>Deduct from expenses</v>
      </c>
    </row>
    <row r="86" spans="1:6" x14ac:dyDescent="0.25">
      <c r="A86" t="s">
        <v>1021</v>
      </c>
      <c r="B86" t="s">
        <v>1031</v>
      </c>
      <c r="C86" t="s">
        <v>476</v>
      </c>
      <c r="D86" t="str">
        <f>_xlfn.XLOOKUP(C86,'Allow&amp;Disa Exp by Truelayer cat'!$B:$B,'Allow&amp;Disa Exp by Truelayer cat'!$C:$C)</f>
        <v>Allowable</v>
      </c>
      <c r="E86" s="116">
        <f>_xlfn.XLOOKUP(C86,'Allow&amp;Disa Exp by Truelayer cat'!$B:$B,'Allow&amp;Disa Exp by Truelayer cat'!$D:$D)</f>
        <v>0</v>
      </c>
      <c r="F86" t="str">
        <f>_xlfn.XLOOKUP(C86,'Allow&amp;Disa Exp by Truelayer cat'!$B:$B,'Allow&amp;Disa Exp by Truelayer cat'!$E:$E)</f>
        <v>Deduct from expenses</v>
      </c>
    </row>
    <row r="87" spans="1:6" x14ac:dyDescent="0.25">
      <c r="A87" t="s">
        <v>1021</v>
      </c>
      <c r="B87" t="s">
        <v>1032</v>
      </c>
      <c r="C87" t="s">
        <v>476</v>
      </c>
      <c r="D87" t="str">
        <f>_xlfn.XLOOKUP(C87,'Allow&amp;Disa Exp by Truelayer cat'!$B:$B,'Allow&amp;Disa Exp by Truelayer cat'!$C:$C)</f>
        <v>Allowable</v>
      </c>
      <c r="E87" s="116">
        <f>_xlfn.XLOOKUP(C87,'Allow&amp;Disa Exp by Truelayer cat'!$B:$B,'Allow&amp;Disa Exp by Truelayer cat'!$D:$D)</f>
        <v>0</v>
      </c>
      <c r="F87" t="str">
        <f>_xlfn.XLOOKUP(C87,'Allow&amp;Disa Exp by Truelayer cat'!$B:$B,'Allow&amp;Disa Exp by Truelayer cat'!$E:$E)</f>
        <v>Deduct from expenses</v>
      </c>
    </row>
    <row r="88" spans="1:6" x14ac:dyDescent="0.25">
      <c r="A88" t="s">
        <v>1021</v>
      </c>
      <c r="B88" t="s">
        <v>1033</v>
      </c>
      <c r="C88" t="s">
        <v>476</v>
      </c>
      <c r="D88" t="str">
        <f>_xlfn.XLOOKUP(C88,'Allow&amp;Disa Exp by Truelayer cat'!$B:$B,'Allow&amp;Disa Exp by Truelayer cat'!$C:$C)</f>
        <v>Allowable</v>
      </c>
      <c r="E88" s="116">
        <f>_xlfn.XLOOKUP(C88,'Allow&amp;Disa Exp by Truelayer cat'!$B:$B,'Allow&amp;Disa Exp by Truelayer cat'!$D:$D)</f>
        <v>0</v>
      </c>
      <c r="F88" t="str">
        <f>_xlfn.XLOOKUP(C88,'Allow&amp;Disa Exp by Truelayer cat'!$B:$B,'Allow&amp;Disa Exp by Truelayer cat'!$E:$E)</f>
        <v>Deduct from expenses</v>
      </c>
    </row>
    <row r="89" spans="1:6" x14ac:dyDescent="0.25">
      <c r="A89" t="s">
        <v>1021</v>
      </c>
      <c r="B89" t="s">
        <v>1034</v>
      </c>
      <c r="C89" t="s">
        <v>476</v>
      </c>
      <c r="D89" t="str">
        <f>_xlfn.XLOOKUP(C89,'Allow&amp;Disa Exp by Truelayer cat'!$B:$B,'Allow&amp;Disa Exp by Truelayer cat'!$C:$C)</f>
        <v>Allowable</v>
      </c>
      <c r="E89" s="116">
        <f>_xlfn.XLOOKUP(C89,'Allow&amp;Disa Exp by Truelayer cat'!$B:$B,'Allow&amp;Disa Exp by Truelayer cat'!$D:$D)</f>
        <v>0</v>
      </c>
      <c r="F89" t="str">
        <f>_xlfn.XLOOKUP(C89,'Allow&amp;Disa Exp by Truelayer cat'!$B:$B,'Allow&amp;Disa Exp by Truelayer cat'!$E:$E)</f>
        <v>Deduct from expenses</v>
      </c>
    </row>
    <row r="90" spans="1:6" x14ac:dyDescent="0.25">
      <c r="A90" t="s">
        <v>1021</v>
      </c>
      <c r="B90" t="s">
        <v>1035</v>
      </c>
      <c r="C90" t="s">
        <v>476</v>
      </c>
      <c r="D90" t="str">
        <f>_xlfn.XLOOKUP(C90,'Allow&amp;Disa Exp by Truelayer cat'!$B:$B,'Allow&amp;Disa Exp by Truelayer cat'!$C:$C)</f>
        <v>Allowable</v>
      </c>
      <c r="E90" s="116">
        <f>_xlfn.XLOOKUP(C90,'Allow&amp;Disa Exp by Truelayer cat'!$B:$B,'Allow&amp;Disa Exp by Truelayer cat'!$D:$D)</f>
        <v>0</v>
      </c>
      <c r="F90" t="str">
        <f>_xlfn.XLOOKUP(C90,'Allow&amp;Disa Exp by Truelayer cat'!$B:$B,'Allow&amp;Disa Exp by Truelayer cat'!$E:$E)</f>
        <v>Deduct from expenses</v>
      </c>
    </row>
    <row r="91" spans="1:6" x14ac:dyDescent="0.25">
      <c r="A91" t="s">
        <v>1021</v>
      </c>
      <c r="B91" t="s">
        <v>1036</v>
      </c>
      <c r="C91" t="s">
        <v>476</v>
      </c>
      <c r="D91" t="str">
        <f>_xlfn.XLOOKUP(C91,'Allow&amp;Disa Exp by Truelayer cat'!$B:$B,'Allow&amp;Disa Exp by Truelayer cat'!$C:$C)</f>
        <v>Allowable</v>
      </c>
      <c r="E91" s="116">
        <f>_xlfn.XLOOKUP(C91,'Allow&amp;Disa Exp by Truelayer cat'!$B:$B,'Allow&amp;Disa Exp by Truelayer cat'!$D:$D)</f>
        <v>0</v>
      </c>
      <c r="F91" t="str">
        <f>_xlfn.XLOOKUP(C91,'Allow&amp;Disa Exp by Truelayer cat'!$B:$B,'Allow&amp;Disa Exp by Truelayer cat'!$E:$E)</f>
        <v>Deduct from expenses</v>
      </c>
    </row>
    <row r="92" spans="1:6" x14ac:dyDescent="0.25">
      <c r="A92" t="s">
        <v>1021</v>
      </c>
      <c r="B92" t="s">
        <v>1037</v>
      </c>
      <c r="C92" t="s">
        <v>476</v>
      </c>
      <c r="D92" t="str">
        <f>_xlfn.XLOOKUP(C92,'Allow&amp;Disa Exp by Truelayer cat'!$B:$B,'Allow&amp;Disa Exp by Truelayer cat'!$C:$C)</f>
        <v>Allowable</v>
      </c>
      <c r="E92" s="116">
        <f>_xlfn.XLOOKUP(C92,'Allow&amp;Disa Exp by Truelayer cat'!$B:$B,'Allow&amp;Disa Exp by Truelayer cat'!$D:$D)</f>
        <v>0</v>
      </c>
      <c r="F92" t="str">
        <f>_xlfn.XLOOKUP(C92,'Allow&amp;Disa Exp by Truelayer cat'!$B:$B,'Allow&amp;Disa Exp by Truelayer cat'!$E:$E)</f>
        <v>Deduct from expenses</v>
      </c>
    </row>
    <row r="93" spans="1:6" x14ac:dyDescent="0.25">
      <c r="A93" t="s">
        <v>1021</v>
      </c>
      <c r="B93" t="s">
        <v>1038</v>
      </c>
      <c r="C93" t="s">
        <v>476</v>
      </c>
      <c r="D93" t="str">
        <f>_xlfn.XLOOKUP(C93,'Allow&amp;Disa Exp by Truelayer cat'!$B:$B,'Allow&amp;Disa Exp by Truelayer cat'!$C:$C)</f>
        <v>Allowable</v>
      </c>
      <c r="E93" s="116">
        <f>_xlfn.XLOOKUP(C93,'Allow&amp;Disa Exp by Truelayer cat'!$B:$B,'Allow&amp;Disa Exp by Truelayer cat'!$D:$D)</f>
        <v>0</v>
      </c>
      <c r="F93" t="str">
        <f>_xlfn.XLOOKUP(C93,'Allow&amp;Disa Exp by Truelayer cat'!$B:$B,'Allow&amp;Disa Exp by Truelayer cat'!$E:$E)</f>
        <v>Deduct from expenses</v>
      </c>
    </row>
    <row r="94" spans="1:6" x14ac:dyDescent="0.25">
      <c r="A94" t="s">
        <v>1021</v>
      </c>
      <c r="B94" t="s">
        <v>1039</v>
      </c>
      <c r="C94" t="s">
        <v>476</v>
      </c>
      <c r="D94" t="str">
        <f>_xlfn.XLOOKUP(C94,'Allow&amp;Disa Exp by Truelayer cat'!$B:$B,'Allow&amp;Disa Exp by Truelayer cat'!$C:$C)</f>
        <v>Allowable</v>
      </c>
      <c r="E94" s="116">
        <f>_xlfn.XLOOKUP(C94,'Allow&amp;Disa Exp by Truelayer cat'!$B:$B,'Allow&amp;Disa Exp by Truelayer cat'!$D:$D)</f>
        <v>0</v>
      </c>
      <c r="F94" t="str">
        <f>_xlfn.XLOOKUP(C94,'Allow&amp;Disa Exp by Truelayer cat'!$B:$B,'Allow&amp;Disa Exp by Truelayer cat'!$E:$E)</f>
        <v>Deduct from expenses</v>
      </c>
    </row>
    <row r="95" spans="1:6" ht="45" x14ac:dyDescent="0.25">
      <c r="A95" t="s">
        <v>1040</v>
      </c>
      <c r="B95" t="s">
        <v>1041</v>
      </c>
      <c r="C95" t="s">
        <v>470</v>
      </c>
      <c r="D95" t="str">
        <f>_xlfn.XLOOKUP(C95,'Allow&amp;Disa Exp by Truelayer cat'!$B:$B,'Allow&amp;Disa Exp by Truelayer cat'!$C:$C)</f>
        <v>Review if over &gt;1,000</v>
      </c>
      <c r="E95" s="116" t="str">
        <f>_xlfn.XLOOKUP(C95,'Allow&amp;Disa Exp by Truelayer cat'!$B:$B,'Allow&amp;Disa Exp by Truelayer cat'!$D:$D)</f>
        <v>"Could this be a vehicle purchase?" - If user says no - "Was this purchase for trade purposes?"</v>
      </c>
      <c r="F95" t="str">
        <f>_xlfn.XLOOKUP(C95,'Allow&amp;Disa Exp by Truelayer cat'!$B:$B,'Allow&amp;Disa Exp by Truelayer cat'!$E:$E)</f>
        <v>If Yes to vehicle purchase, then proceed Capital allowancesquestions (in capital allowance page) if yes for trade, deduct from expenses</v>
      </c>
    </row>
    <row r="96" spans="1:6" ht="45" x14ac:dyDescent="0.25">
      <c r="A96" t="s">
        <v>1040</v>
      </c>
      <c r="B96" t="s">
        <v>1042</v>
      </c>
      <c r="C96" t="s">
        <v>470</v>
      </c>
      <c r="D96" t="str">
        <f>_xlfn.XLOOKUP(C96,'Allow&amp;Disa Exp by Truelayer cat'!$B:$B,'Allow&amp;Disa Exp by Truelayer cat'!$C:$C)</f>
        <v>Review if over &gt;1,000</v>
      </c>
      <c r="E96" s="116" t="str">
        <f>_xlfn.XLOOKUP(C96,'Allow&amp;Disa Exp by Truelayer cat'!$B:$B,'Allow&amp;Disa Exp by Truelayer cat'!$D:$D)</f>
        <v>"Could this be a vehicle purchase?" - If user says no - "Was this purchase for trade purposes?"</v>
      </c>
      <c r="F96" t="str">
        <f>_xlfn.XLOOKUP(C96,'Allow&amp;Disa Exp by Truelayer cat'!$B:$B,'Allow&amp;Disa Exp by Truelayer cat'!$E:$E)</f>
        <v>If Yes to vehicle purchase, then proceed Capital allowancesquestions (in capital allowance page) if yes for trade, deduct from expenses</v>
      </c>
    </row>
    <row r="97" spans="1:6" ht="45" x14ac:dyDescent="0.25">
      <c r="A97" t="s">
        <v>1040</v>
      </c>
      <c r="B97" t="s">
        <v>1043</v>
      </c>
      <c r="C97" t="s">
        <v>470</v>
      </c>
      <c r="D97" t="str">
        <f>_xlfn.XLOOKUP(C97,'Allow&amp;Disa Exp by Truelayer cat'!$B:$B,'Allow&amp;Disa Exp by Truelayer cat'!$C:$C)</f>
        <v>Review if over &gt;1,000</v>
      </c>
      <c r="E97" s="116" t="str">
        <f>_xlfn.XLOOKUP(C97,'Allow&amp;Disa Exp by Truelayer cat'!$B:$B,'Allow&amp;Disa Exp by Truelayer cat'!$D:$D)</f>
        <v>"Could this be a vehicle purchase?" - If user says no - "Was this purchase for trade purposes?"</v>
      </c>
      <c r="F97" t="str">
        <f>_xlfn.XLOOKUP(C97,'Allow&amp;Disa Exp by Truelayer cat'!$B:$B,'Allow&amp;Disa Exp by Truelayer cat'!$E:$E)</f>
        <v>If Yes to vehicle purchase, then proceed Capital allowancesquestions (in capital allowance page) if yes for trade, deduct from expenses</v>
      </c>
    </row>
    <row r="98" spans="1:6" ht="45" x14ac:dyDescent="0.25">
      <c r="A98" t="s">
        <v>1040</v>
      </c>
      <c r="B98" t="s">
        <v>1044</v>
      </c>
      <c r="C98" t="s">
        <v>470</v>
      </c>
      <c r="D98" t="str">
        <f>_xlfn.XLOOKUP(C98,'Allow&amp;Disa Exp by Truelayer cat'!$B:$B,'Allow&amp;Disa Exp by Truelayer cat'!$C:$C)</f>
        <v>Review if over &gt;1,000</v>
      </c>
      <c r="E98" s="116" t="str">
        <f>_xlfn.XLOOKUP(C98,'Allow&amp;Disa Exp by Truelayer cat'!$B:$B,'Allow&amp;Disa Exp by Truelayer cat'!$D:$D)</f>
        <v>"Could this be a vehicle purchase?" - If user says no - "Was this purchase for trade purposes?"</v>
      </c>
      <c r="F98" t="str">
        <f>_xlfn.XLOOKUP(C98,'Allow&amp;Disa Exp by Truelayer cat'!$B:$B,'Allow&amp;Disa Exp by Truelayer cat'!$E:$E)</f>
        <v>If Yes to vehicle purchase, then proceed Capital allowancesquestions (in capital allowance page) if yes for trade, deduct from expenses</v>
      </c>
    </row>
    <row r="99" spans="1:6" ht="45" x14ac:dyDescent="0.25">
      <c r="A99" t="s">
        <v>1040</v>
      </c>
      <c r="B99" t="s">
        <v>1045</v>
      </c>
      <c r="C99" t="s">
        <v>470</v>
      </c>
      <c r="D99" t="str">
        <f>_xlfn.XLOOKUP(C99,'Allow&amp;Disa Exp by Truelayer cat'!$B:$B,'Allow&amp;Disa Exp by Truelayer cat'!$C:$C)</f>
        <v>Review if over &gt;1,000</v>
      </c>
      <c r="E99" s="116" t="str">
        <f>_xlfn.XLOOKUP(C99,'Allow&amp;Disa Exp by Truelayer cat'!$B:$B,'Allow&amp;Disa Exp by Truelayer cat'!$D:$D)</f>
        <v>"Could this be a vehicle purchase?" - If user says no - "Was this purchase for trade purposes?"</v>
      </c>
      <c r="F99" t="str">
        <f>_xlfn.XLOOKUP(C99,'Allow&amp;Disa Exp by Truelayer cat'!$B:$B,'Allow&amp;Disa Exp by Truelayer cat'!$E:$E)</f>
        <v>If Yes to vehicle purchase, then proceed Capital allowancesquestions (in capital allowance page) if yes for trade, deduct from expenses</v>
      </c>
    </row>
    <row r="100" spans="1:6" ht="45" x14ac:dyDescent="0.25">
      <c r="A100" t="s">
        <v>1040</v>
      </c>
      <c r="B100" t="s">
        <v>1046</v>
      </c>
      <c r="C100" t="s">
        <v>470</v>
      </c>
      <c r="D100" t="str">
        <f>_xlfn.XLOOKUP(C100,'Allow&amp;Disa Exp by Truelayer cat'!$B:$B,'Allow&amp;Disa Exp by Truelayer cat'!$C:$C)</f>
        <v>Review if over &gt;1,000</v>
      </c>
      <c r="E100" s="116" t="str">
        <f>_xlfn.XLOOKUP(C100,'Allow&amp;Disa Exp by Truelayer cat'!$B:$B,'Allow&amp;Disa Exp by Truelayer cat'!$D:$D)</f>
        <v>"Could this be a vehicle purchase?" - If user says no - "Was this purchase for trade purposes?"</v>
      </c>
      <c r="F100" t="str">
        <f>_xlfn.XLOOKUP(C100,'Allow&amp;Disa Exp by Truelayer cat'!$B:$B,'Allow&amp;Disa Exp by Truelayer cat'!$E:$E)</f>
        <v>If Yes to vehicle purchase, then proceed Capital allowancesquestions (in capital allowance page) if yes for trade, deduct from expenses</v>
      </c>
    </row>
    <row r="101" spans="1:6" ht="45" x14ac:dyDescent="0.25">
      <c r="A101" t="s">
        <v>1040</v>
      </c>
      <c r="B101" t="s">
        <v>1047</v>
      </c>
      <c r="C101" t="s">
        <v>470</v>
      </c>
      <c r="D101" t="str">
        <f>_xlfn.XLOOKUP(C101,'Allow&amp;Disa Exp by Truelayer cat'!$B:$B,'Allow&amp;Disa Exp by Truelayer cat'!$C:$C)</f>
        <v>Review if over &gt;1,000</v>
      </c>
      <c r="E101" s="116" t="str">
        <f>_xlfn.XLOOKUP(C101,'Allow&amp;Disa Exp by Truelayer cat'!$B:$B,'Allow&amp;Disa Exp by Truelayer cat'!$D:$D)</f>
        <v>"Could this be a vehicle purchase?" - If user says no - "Was this purchase for trade purposes?"</v>
      </c>
      <c r="F101" t="str">
        <f>_xlfn.XLOOKUP(C101,'Allow&amp;Disa Exp by Truelayer cat'!$B:$B,'Allow&amp;Disa Exp by Truelayer cat'!$E:$E)</f>
        <v>If Yes to vehicle purchase, then proceed Capital allowancesquestions (in capital allowance page) if yes for trade, deduct from expenses</v>
      </c>
    </row>
    <row r="102" spans="1:6" ht="45" x14ac:dyDescent="0.25">
      <c r="A102" t="s">
        <v>1040</v>
      </c>
      <c r="B102" t="s">
        <v>1048</v>
      </c>
      <c r="C102" t="s">
        <v>470</v>
      </c>
      <c r="D102" t="str">
        <f>_xlfn.XLOOKUP(C102,'Allow&amp;Disa Exp by Truelayer cat'!$B:$B,'Allow&amp;Disa Exp by Truelayer cat'!$C:$C)</f>
        <v>Review if over &gt;1,000</v>
      </c>
      <c r="E102" s="116" t="str">
        <f>_xlfn.XLOOKUP(C102,'Allow&amp;Disa Exp by Truelayer cat'!$B:$B,'Allow&amp;Disa Exp by Truelayer cat'!$D:$D)</f>
        <v>"Could this be a vehicle purchase?" - If user says no - "Was this purchase for trade purposes?"</v>
      </c>
      <c r="F102" t="str">
        <f>_xlfn.XLOOKUP(C102,'Allow&amp;Disa Exp by Truelayer cat'!$B:$B,'Allow&amp;Disa Exp by Truelayer cat'!$E:$E)</f>
        <v>If Yes to vehicle purchase, then proceed Capital allowancesquestions (in capital allowance page) if yes for trade, deduct from expenses</v>
      </c>
    </row>
    <row r="103" spans="1:6" ht="45" x14ac:dyDescent="0.25">
      <c r="A103" t="s">
        <v>1040</v>
      </c>
      <c r="B103" t="s">
        <v>1049</v>
      </c>
      <c r="C103" t="s">
        <v>470</v>
      </c>
      <c r="D103" t="str">
        <f>_xlfn.XLOOKUP(C103,'Allow&amp;Disa Exp by Truelayer cat'!$B:$B,'Allow&amp;Disa Exp by Truelayer cat'!$C:$C)</f>
        <v>Review if over &gt;1,000</v>
      </c>
      <c r="E103" s="116" t="str">
        <f>_xlfn.XLOOKUP(C103,'Allow&amp;Disa Exp by Truelayer cat'!$B:$B,'Allow&amp;Disa Exp by Truelayer cat'!$D:$D)</f>
        <v>"Could this be a vehicle purchase?" - If user says no - "Was this purchase for trade purposes?"</v>
      </c>
      <c r="F103" t="str">
        <f>_xlfn.XLOOKUP(C103,'Allow&amp;Disa Exp by Truelayer cat'!$B:$B,'Allow&amp;Disa Exp by Truelayer cat'!$E:$E)</f>
        <v>If Yes to vehicle purchase, then proceed Capital allowancesquestions (in capital allowance page) if yes for trade, deduct from expenses</v>
      </c>
    </row>
    <row r="104" spans="1:6" x14ac:dyDescent="0.25">
      <c r="A104" t="s">
        <v>1050</v>
      </c>
      <c r="B104" t="s">
        <v>1051</v>
      </c>
      <c r="C104" t="s">
        <v>474</v>
      </c>
      <c r="D104" t="str">
        <f>_xlfn.XLOOKUP(C104,'Allow&amp;Disa Exp by Truelayer cat'!$B:$B,'Allow&amp;Disa Exp by Truelayer cat'!$C:$C)</f>
        <v>Allowable</v>
      </c>
      <c r="E104" s="116">
        <f>_xlfn.XLOOKUP(C104,'Allow&amp;Disa Exp by Truelayer cat'!$B:$B,'Allow&amp;Disa Exp by Truelayer cat'!$D:$D)</f>
        <v>0</v>
      </c>
      <c r="F104" t="str">
        <f>_xlfn.XLOOKUP(C104,'Allow&amp;Disa Exp by Truelayer cat'!$B:$B,'Allow&amp;Disa Exp by Truelayer cat'!$E:$E)</f>
        <v>Deduct from expenses</v>
      </c>
    </row>
    <row r="105" spans="1:6" x14ac:dyDescent="0.25">
      <c r="A105" t="s">
        <v>1050</v>
      </c>
      <c r="B105" t="s">
        <v>1052</v>
      </c>
      <c r="C105" t="s">
        <v>474</v>
      </c>
      <c r="D105" t="str">
        <f>_xlfn.XLOOKUP(C105,'Allow&amp;Disa Exp by Truelayer cat'!$B:$B,'Allow&amp;Disa Exp by Truelayer cat'!$C:$C)</f>
        <v>Allowable</v>
      </c>
      <c r="E105" s="116">
        <f>_xlfn.XLOOKUP(C105,'Allow&amp;Disa Exp by Truelayer cat'!$B:$B,'Allow&amp;Disa Exp by Truelayer cat'!$D:$D)</f>
        <v>0</v>
      </c>
      <c r="F105" t="str">
        <f>_xlfn.XLOOKUP(C105,'Allow&amp;Disa Exp by Truelayer cat'!$B:$B,'Allow&amp;Disa Exp by Truelayer cat'!$E:$E)</f>
        <v>Deduct from expenses</v>
      </c>
    </row>
    <row r="106" spans="1:6" x14ac:dyDescent="0.25">
      <c r="A106" t="s">
        <v>1050</v>
      </c>
      <c r="B106" t="s">
        <v>1053</v>
      </c>
      <c r="C106" t="s">
        <v>474</v>
      </c>
      <c r="D106" t="str">
        <f>_xlfn.XLOOKUP(C106,'Allow&amp;Disa Exp by Truelayer cat'!$B:$B,'Allow&amp;Disa Exp by Truelayer cat'!$C:$C)</f>
        <v>Allowable</v>
      </c>
      <c r="E106" s="116">
        <f>_xlfn.XLOOKUP(C106,'Allow&amp;Disa Exp by Truelayer cat'!$B:$B,'Allow&amp;Disa Exp by Truelayer cat'!$D:$D)</f>
        <v>0</v>
      </c>
      <c r="F106" t="str">
        <f>_xlfn.XLOOKUP(C106,'Allow&amp;Disa Exp by Truelayer cat'!$B:$B,'Allow&amp;Disa Exp by Truelayer cat'!$E:$E)</f>
        <v>Deduct from expenses</v>
      </c>
    </row>
    <row r="107" spans="1:6" x14ac:dyDescent="0.25">
      <c r="A107" t="s">
        <v>1050</v>
      </c>
      <c r="B107" t="s">
        <v>1054</v>
      </c>
      <c r="C107" t="s">
        <v>474</v>
      </c>
      <c r="D107" t="str">
        <f>_xlfn.XLOOKUP(C107,'Allow&amp;Disa Exp by Truelayer cat'!$B:$B,'Allow&amp;Disa Exp by Truelayer cat'!$C:$C)</f>
        <v>Allowable</v>
      </c>
      <c r="E107" s="116">
        <f>_xlfn.XLOOKUP(C107,'Allow&amp;Disa Exp by Truelayer cat'!$B:$B,'Allow&amp;Disa Exp by Truelayer cat'!$D:$D)</f>
        <v>0</v>
      </c>
      <c r="F107" t="str">
        <f>_xlfn.XLOOKUP(C107,'Allow&amp;Disa Exp by Truelayer cat'!$B:$B,'Allow&amp;Disa Exp by Truelayer cat'!$E:$E)</f>
        <v>Deduct from expenses</v>
      </c>
    </row>
    <row r="108" spans="1:6" x14ac:dyDescent="0.25">
      <c r="A108" t="s">
        <v>1050</v>
      </c>
      <c r="B108" t="s">
        <v>1055</v>
      </c>
      <c r="C108" t="s">
        <v>474</v>
      </c>
      <c r="D108" t="str">
        <f>_xlfn.XLOOKUP(C108,'Allow&amp;Disa Exp by Truelayer cat'!$B:$B,'Allow&amp;Disa Exp by Truelayer cat'!$C:$C)</f>
        <v>Allowable</v>
      </c>
      <c r="E108" s="116">
        <f>_xlfn.XLOOKUP(C108,'Allow&amp;Disa Exp by Truelayer cat'!$B:$B,'Allow&amp;Disa Exp by Truelayer cat'!$D:$D)</f>
        <v>0</v>
      </c>
      <c r="F108" t="str">
        <f>_xlfn.XLOOKUP(C108,'Allow&amp;Disa Exp by Truelayer cat'!$B:$B,'Allow&amp;Disa Exp by Truelayer cat'!$E:$E)</f>
        <v>Deduct from expenses</v>
      </c>
    </row>
    <row r="109" spans="1:6" x14ac:dyDescent="0.25">
      <c r="A109" t="s">
        <v>1050</v>
      </c>
      <c r="B109" t="s">
        <v>1056</v>
      </c>
      <c r="C109" t="s">
        <v>474</v>
      </c>
      <c r="D109" t="str">
        <f>_xlfn.XLOOKUP(C109,'Allow&amp;Disa Exp by Truelayer cat'!$B:$B,'Allow&amp;Disa Exp by Truelayer cat'!$C:$C)</f>
        <v>Allowable</v>
      </c>
      <c r="E109" s="116">
        <f>_xlfn.XLOOKUP(C109,'Allow&amp;Disa Exp by Truelayer cat'!$B:$B,'Allow&amp;Disa Exp by Truelayer cat'!$D:$D)</f>
        <v>0</v>
      </c>
      <c r="F109" t="str">
        <f>_xlfn.XLOOKUP(C109,'Allow&amp;Disa Exp by Truelayer cat'!$B:$B,'Allow&amp;Disa Exp by Truelayer cat'!$E:$E)</f>
        <v>Deduct from expenses</v>
      </c>
    </row>
    <row r="110" spans="1:6" x14ac:dyDescent="0.25">
      <c r="A110" t="s">
        <v>1050</v>
      </c>
      <c r="B110" t="s">
        <v>1057</v>
      </c>
      <c r="C110" t="s">
        <v>474</v>
      </c>
      <c r="D110" t="str">
        <f>_xlfn.XLOOKUP(C110,'Allow&amp;Disa Exp by Truelayer cat'!$B:$B,'Allow&amp;Disa Exp by Truelayer cat'!$C:$C)</f>
        <v>Allowable</v>
      </c>
      <c r="E110" s="116">
        <f>_xlfn.XLOOKUP(C110,'Allow&amp;Disa Exp by Truelayer cat'!$B:$B,'Allow&amp;Disa Exp by Truelayer cat'!$D:$D)</f>
        <v>0</v>
      </c>
      <c r="F110" t="str">
        <f>_xlfn.XLOOKUP(C110,'Allow&amp;Disa Exp by Truelayer cat'!$B:$B,'Allow&amp;Disa Exp by Truelayer cat'!$E:$E)</f>
        <v>Deduct from expenses</v>
      </c>
    </row>
    <row r="111" spans="1:6" x14ac:dyDescent="0.25">
      <c r="A111" t="s">
        <v>1050</v>
      </c>
      <c r="B111" t="s">
        <v>1058</v>
      </c>
      <c r="C111" t="s">
        <v>474</v>
      </c>
      <c r="D111" t="str">
        <f>_xlfn.XLOOKUP(C111,'Allow&amp;Disa Exp by Truelayer cat'!$B:$B,'Allow&amp;Disa Exp by Truelayer cat'!$C:$C)</f>
        <v>Allowable</v>
      </c>
      <c r="E111" s="116">
        <f>_xlfn.XLOOKUP(C111,'Allow&amp;Disa Exp by Truelayer cat'!$B:$B,'Allow&amp;Disa Exp by Truelayer cat'!$D:$D)</f>
        <v>0</v>
      </c>
      <c r="F111" t="str">
        <f>_xlfn.XLOOKUP(C111,'Allow&amp;Disa Exp by Truelayer cat'!$B:$B,'Allow&amp;Disa Exp by Truelayer cat'!$E:$E)</f>
        <v>Deduct from expenses</v>
      </c>
    </row>
    <row r="112" spans="1:6" x14ac:dyDescent="0.25">
      <c r="A112" t="s">
        <v>1050</v>
      </c>
      <c r="B112" t="s">
        <v>1059</v>
      </c>
      <c r="C112" t="s">
        <v>474</v>
      </c>
      <c r="D112" t="str">
        <f>_xlfn.XLOOKUP(C112,'Allow&amp;Disa Exp by Truelayer cat'!$B:$B,'Allow&amp;Disa Exp by Truelayer cat'!$C:$C)</f>
        <v>Allowable</v>
      </c>
      <c r="E112" s="116">
        <f>_xlfn.XLOOKUP(C112,'Allow&amp;Disa Exp by Truelayer cat'!$B:$B,'Allow&amp;Disa Exp by Truelayer cat'!$D:$D)</f>
        <v>0</v>
      </c>
      <c r="F112" t="str">
        <f>_xlfn.XLOOKUP(C112,'Allow&amp;Disa Exp by Truelayer cat'!$B:$B,'Allow&amp;Disa Exp by Truelayer cat'!$E:$E)</f>
        <v>Deduct from expenses</v>
      </c>
    </row>
    <row r="113" spans="1:6" x14ac:dyDescent="0.25">
      <c r="A113" t="s">
        <v>1050</v>
      </c>
      <c r="B113" t="s">
        <v>1060</v>
      </c>
      <c r="C113" t="s">
        <v>474</v>
      </c>
      <c r="D113" t="str">
        <f>_xlfn.XLOOKUP(C113,'Allow&amp;Disa Exp by Truelayer cat'!$B:$B,'Allow&amp;Disa Exp by Truelayer cat'!$C:$C)</f>
        <v>Allowable</v>
      </c>
      <c r="E113" s="116">
        <f>_xlfn.XLOOKUP(C113,'Allow&amp;Disa Exp by Truelayer cat'!$B:$B,'Allow&amp;Disa Exp by Truelayer cat'!$D:$D)</f>
        <v>0</v>
      </c>
      <c r="F113" t="str">
        <f>_xlfn.XLOOKUP(C113,'Allow&amp;Disa Exp by Truelayer cat'!$B:$B,'Allow&amp;Disa Exp by Truelayer cat'!$E:$E)</f>
        <v>Deduct from expenses</v>
      </c>
    </row>
    <row r="114" spans="1:6" x14ac:dyDescent="0.25">
      <c r="A114" t="s">
        <v>1050</v>
      </c>
      <c r="B114" t="s">
        <v>1061</v>
      </c>
      <c r="C114" t="s">
        <v>474</v>
      </c>
      <c r="D114" t="str">
        <f>_xlfn.XLOOKUP(C114,'Allow&amp;Disa Exp by Truelayer cat'!$B:$B,'Allow&amp;Disa Exp by Truelayer cat'!$C:$C)</f>
        <v>Allowable</v>
      </c>
      <c r="E114" s="116">
        <f>_xlfn.XLOOKUP(C114,'Allow&amp;Disa Exp by Truelayer cat'!$B:$B,'Allow&amp;Disa Exp by Truelayer cat'!$D:$D)</f>
        <v>0</v>
      </c>
      <c r="F114" t="str">
        <f>_xlfn.XLOOKUP(C114,'Allow&amp;Disa Exp by Truelayer cat'!$B:$B,'Allow&amp;Disa Exp by Truelayer cat'!$E:$E)</f>
        <v>Deduct from expenses</v>
      </c>
    </row>
    <row r="115" spans="1:6" x14ac:dyDescent="0.25">
      <c r="A115" t="s">
        <v>1050</v>
      </c>
      <c r="B115" t="s">
        <v>1062</v>
      </c>
      <c r="C115" t="s">
        <v>474</v>
      </c>
      <c r="D115" t="str">
        <f>_xlfn.XLOOKUP(C115,'Allow&amp;Disa Exp by Truelayer cat'!$B:$B,'Allow&amp;Disa Exp by Truelayer cat'!$C:$C)</f>
        <v>Allowable</v>
      </c>
      <c r="E115" s="116">
        <f>_xlfn.XLOOKUP(C115,'Allow&amp;Disa Exp by Truelayer cat'!$B:$B,'Allow&amp;Disa Exp by Truelayer cat'!$D:$D)</f>
        <v>0</v>
      </c>
      <c r="F115" t="str">
        <f>_xlfn.XLOOKUP(C115,'Allow&amp;Disa Exp by Truelayer cat'!$B:$B,'Allow&amp;Disa Exp by Truelayer cat'!$E:$E)</f>
        <v>Deduct from expenses</v>
      </c>
    </row>
    <row r="116" spans="1:6" x14ac:dyDescent="0.25">
      <c r="A116" t="s">
        <v>1050</v>
      </c>
      <c r="B116" t="s">
        <v>1063</v>
      </c>
      <c r="C116" t="s">
        <v>474</v>
      </c>
      <c r="D116" t="str">
        <f>_xlfn.XLOOKUP(C116,'Allow&amp;Disa Exp by Truelayer cat'!$B:$B,'Allow&amp;Disa Exp by Truelayer cat'!$C:$C)</f>
        <v>Allowable</v>
      </c>
      <c r="E116" s="116">
        <f>_xlfn.XLOOKUP(C116,'Allow&amp;Disa Exp by Truelayer cat'!$B:$B,'Allow&amp;Disa Exp by Truelayer cat'!$D:$D)</f>
        <v>0</v>
      </c>
      <c r="F116" t="str">
        <f>_xlfn.XLOOKUP(C116,'Allow&amp;Disa Exp by Truelayer cat'!$B:$B,'Allow&amp;Disa Exp by Truelayer cat'!$E:$E)</f>
        <v>Deduct from expenses</v>
      </c>
    </row>
    <row r="117" spans="1:6" x14ac:dyDescent="0.25">
      <c r="A117" t="s">
        <v>1050</v>
      </c>
      <c r="B117" t="s">
        <v>1064</v>
      </c>
      <c r="C117" t="s">
        <v>474</v>
      </c>
      <c r="D117" t="str">
        <f>_xlfn.XLOOKUP(C117,'Allow&amp;Disa Exp by Truelayer cat'!$B:$B,'Allow&amp;Disa Exp by Truelayer cat'!$C:$C)</f>
        <v>Allowable</v>
      </c>
      <c r="E117" s="116">
        <f>_xlfn.XLOOKUP(C117,'Allow&amp;Disa Exp by Truelayer cat'!$B:$B,'Allow&amp;Disa Exp by Truelayer cat'!$D:$D)</f>
        <v>0</v>
      </c>
      <c r="F117" t="str">
        <f>_xlfn.XLOOKUP(C117,'Allow&amp;Disa Exp by Truelayer cat'!$B:$B,'Allow&amp;Disa Exp by Truelayer cat'!$E:$E)</f>
        <v>Deduct from expenses</v>
      </c>
    </row>
    <row r="118" spans="1:6" x14ac:dyDescent="0.25">
      <c r="A118" t="s">
        <v>1050</v>
      </c>
      <c r="B118" t="s">
        <v>1065</v>
      </c>
      <c r="C118" t="s">
        <v>474</v>
      </c>
      <c r="D118" t="str">
        <f>_xlfn.XLOOKUP(C118,'Allow&amp;Disa Exp by Truelayer cat'!$B:$B,'Allow&amp;Disa Exp by Truelayer cat'!$C:$C)</f>
        <v>Allowable</v>
      </c>
      <c r="E118" s="116">
        <f>_xlfn.XLOOKUP(C118,'Allow&amp;Disa Exp by Truelayer cat'!$B:$B,'Allow&amp;Disa Exp by Truelayer cat'!$D:$D)</f>
        <v>0</v>
      </c>
      <c r="F118" t="str">
        <f>_xlfn.XLOOKUP(C118,'Allow&amp;Disa Exp by Truelayer cat'!$B:$B,'Allow&amp;Disa Exp by Truelayer cat'!$E:$E)</f>
        <v>Deduct from expenses</v>
      </c>
    </row>
    <row r="119" spans="1:6" x14ac:dyDescent="0.25">
      <c r="A119" t="s">
        <v>1050</v>
      </c>
      <c r="B119" t="s">
        <v>1066</v>
      </c>
      <c r="C119" t="s">
        <v>474</v>
      </c>
      <c r="D119" t="str">
        <f>_xlfn.XLOOKUP(C119,'Allow&amp;Disa Exp by Truelayer cat'!$B:$B,'Allow&amp;Disa Exp by Truelayer cat'!$C:$C)</f>
        <v>Allowable</v>
      </c>
      <c r="E119" s="116">
        <f>_xlfn.XLOOKUP(C119,'Allow&amp;Disa Exp by Truelayer cat'!$B:$B,'Allow&amp;Disa Exp by Truelayer cat'!$D:$D)</f>
        <v>0</v>
      </c>
      <c r="F119" t="str">
        <f>_xlfn.XLOOKUP(C119,'Allow&amp;Disa Exp by Truelayer cat'!$B:$B,'Allow&amp;Disa Exp by Truelayer cat'!$E:$E)</f>
        <v>Deduct from expenses</v>
      </c>
    </row>
    <row r="120" spans="1:6" x14ac:dyDescent="0.25">
      <c r="A120" t="s">
        <v>1050</v>
      </c>
      <c r="B120" t="s">
        <v>1067</v>
      </c>
      <c r="C120" t="s">
        <v>474</v>
      </c>
      <c r="D120" t="str">
        <f>_xlfn.XLOOKUP(C120,'Allow&amp;Disa Exp by Truelayer cat'!$B:$B,'Allow&amp;Disa Exp by Truelayer cat'!$C:$C)</f>
        <v>Allowable</v>
      </c>
      <c r="E120" s="116">
        <f>_xlfn.XLOOKUP(C120,'Allow&amp;Disa Exp by Truelayer cat'!$B:$B,'Allow&amp;Disa Exp by Truelayer cat'!$D:$D)</f>
        <v>0</v>
      </c>
      <c r="F120" t="str">
        <f>_xlfn.XLOOKUP(C120,'Allow&amp;Disa Exp by Truelayer cat'!$B:$B,'Allow&amp;Disa Exp by Truelayer cat'!$E:$E)</f>
        <v>Deduct from expenses</v>
      </c>
    </row>
    <row r="121" spans="1:6" x14ac:dyDescent="0.25">
      <c r="A121" t="s">
        <v>1050</v>
      </c>
      <c r="B121" t="s">
        <v>1068</v>
      </c>
      <c r="C121" t="s">
        <v>474</v>
      </c>
      <c r="D121" t="str">
        <f>_xlfn.XLOOKUP(C121,'Allow&amp;Disa Exp by Truelayer cat'!$B:$B,'Allow&amp;Disa Exp by Truelayer cat'!$C:$C)</f>
        <v>Allowable</v>
      </c>
      <c r="E121" s="116">
        <f>_xlfn.XLOOKUP(C121,'Allow&amp;Disa Exp by Truelayer cat'!$B:$B,'Allow&amp;Disa Exp by Truelayer cat'!$D:$D)</f>
        <v>0</v>
      </c>
      <c r="F121" t="str">
        <f>_xlfn.XLOOKUP(C121,'Allow&amp;Disa Exp by Truelayer cat'!$B:$B,'Allow&amp;Disa Exp by Truelayer cat'!$E:$E)</f>
        <v>Deduct from expenses</v>
      </c>
    </row>
    <row r="122" spans="1:6" x14ac:dyDescent="0.25">
      <c r="A122" t="s">
        <v>1050</v>
      </c>
      <c r="B122" t="s">
        <v>1069</v>
      </c>
      <c r="C122" t="s">
        <v>474</v>
      </c>
      <c r="D122" t="str">
        <f>_xlfn.XLOOKUP(C122,'Allow&amp;Disa Exp by Truelayer cat'!$B:$B,'Allow&amp;Disa Exp by Truelayer cat'!$C:$C)</f>
        <v>Allowable</v>
      </c>
      <c r="E122" s="116">
        <f>_xlfn.XLOOKUP(C122,'Allow&amp;Disa Exp by Truelayer cat'!$B:$B,'Allow&amp;Disa Exp by Truelayer cat'!$D:$D)</f>
        <v>0</v>
      </c>
      <c r="F122" t="str">
        <f>_xlfn.XLOOKUP(C122,'Allow&amp;Disa Exp by Truelayer cat'!$B:$B,'Allow&amp;Disa Exp by Truelayer cat'!$E:$E)</f>
        <v>Deduct from expenses</v>
      </c>
    </row>
    <row r="123" spans="1:6" x14ac:dyDescent="0.25">
      <c r="A123" t="s">
        <v>1050</v>
      </c>
      <c r="B123" t="s">
        <v>1070</v>
      </c>
      <c r="C123" t="s">
        <v>474</v>
      </c>
      <c r="D123" t="str">
        <f>_xlfn.XLOOKUP(C123,'Allow&amp;Disa Exp by Truelayer cat'!$B:$B,'Allow&amp;Disa Exp by Truelayer cat'!$C:$C)</f>
        <v>Allowable</v>
      </c>
      <c r="E123" s="116">
        <f>_xlfn.XLOOKUP(C123,'Allow&amp;Disa Exp by Truelayer cat'!$B:$B,'Allow&amp;Disa Exp by Truelayer cat'!$D:$D)</f>
        <v>0</v>
      </c>
      <c r="F123" t="str">
        <f>_xlfn.XLOOKUP(C123,'Allow&amp;Disa Exp by Truelayer cat'!$B:$B,'Allow&amp;Disa Exp by Truelayer cat'!$E:$E)</f>
        <v>Deduct from expenses</v>
      </c>
    </row>
    <row r="124" spans="1:6" x14ac:dyDescent="0.25">
      <c r="A124" t="s">
        <v>1050</v>
      </c>
      <c r="B124" t="s">
        <v>1071</v>
      </c>
      <c r="C124" t="s">
        <v>474</v>
      </c>
      <c r="D124" t="str">
        <f>_xlfn.XLOOKUP(C124,'Allow&amp;Disa Exp by Truelayer cat'!$B:$B,'Allow&amp;Disa Exp by Truelayer cat'!$C:$C)</f>
        <v>Allowable</v>
      </c>
      <c r="E124" s="116">
        <f>_xlfn.XLOOKUP(C124,'Allow&amp;Disa Exp by Truelayer cat'!$B:$B,'Allow&amp;Disa Exp by Truelayer cat'!$D:$D)</f>
        <v>0</v>
      </c>
      <c r="F124" t="str">
        <f>_xlfn.XLOOKUP(C124,'Allow&amp;Disa Exp by Truelayer cat'!$B:$B,'Allow&amp;Disa Exp by Truelayer cat'!$E:$E)</f>
        <v>Deduct from expenses</v>
      </c>
    </row>
    <row r="125" spans="1:6" x14ac:dyDescent="0.25">
      <c r="A125" t="s">
        <v>1050</v>
      </c>
      <c r="B125" t="s">
        <v>1072</v>
      </c>
      <c r="C125" t="s">
        <v>474</v>
      </c>
      <c r="D125" t="str">
        <f>_xlfn.XLOOKUP(C125,'Allow&amp;Disa Exp by Truelayer cat'!$B:$B,'Allow&amp;Disa Exp by Truelayer cat'!$C:$C)</f>
        <v>Allowable</v>
      </c>
      <c r="E125" s="116">
        <f>_xlfn.XLOOKUP(C125,'Allow&amp;Disa Exp by Truelayer cat'!$B:$B,'Allow&amp;Disa Exp by Truelayer cat'!$D:$D)</f>
        <v>0</v>
      </c>
      <c r="F125" t="str">
        <f>_xlfn.XLOOKUP(C125,'Allow&amp;Disa Exp by Truelayer cat'!$B:$B,'Allow&amp;Disa Exp by Truelayer cat'!$E:$E)</f>
        <v>Deduct from expenses</v>
      </c>
    </row>
    <row r="126" spans="1:6" x14ac:dyDescent="0.25">
      <c r="A126" t="s">
        <v>1050</v>
      </c>
      <c r="B126" t="s">
        <v>1073</v>
      </c>
      <c r="C126" t="s">
        <v>474</v>
      </c>
      <c r="D126" t="str">
        <f>_xlfn.XLOOKUP(C126,'Allow&amp;Disa Exp by Truelayer cat'!$B:$B,'Allow&amp;Disa Exp by Truelayer cat'!$C:$C)</f>
        <v>Allowable</v>
      </c>
      <c r="E126" s="116">
        <f>_xlfn.XLOOKUP(C126,'Allow&amp;Disa Exp by Truelayer cat'!$B:$B,'Allow&amp;Disa Exp by Truelayer cat'!$D:$D)</f>
        <v>0</v>
      </c>
      <c r="F126" t="str">
        <f>_xlfn.XLOOKUP(C126,'Allow&amp;Disa Exp by Truelayer cat'!$B:$B,'Allow&amp;Disa Exp by Truelayer cat'!$E:$E)</f>
        <v>Deduct from expenses</v>
      </c>
    </row>
    <row r="127" spans="1:6" x14ac:dyDescent="0.25">
      <c r="A127" t="s">
        <v>1050</v>
      </c>
      <c r="B127" t="s">
        <v>1074</v>
      </c>
      <c r="C127" t="s">
        <v>474</v>
      </c>
      <c r="D127" t="str">
        <f>_xlfn.XLOOKUP(C127,'Allow&amp;Disa Exp by Truelayer cat'!$B:$B,'Allow&amp;Disa Exp by Truelayer cat'!$C:$C)</f>
        <v>Allowable</v>
      </c>
      <c r="E127" s="116">
        <f>_xlfn.XLOOKUP(C127,'Allow&amp;Disa Exp by Truelayer cat'!$B:$B,'Allow&amp;Disa Exp by Truelayer cat'!$D:$D)</f>
        <v>0</v>
      </c>
      <c r="F127" t="str">
        <f>_xlfn.XLOOKUP(C127,'Allow&amp;Disa Exp by Truelayer cat'!$B:$B,'Allow&amp;Disa Exp by Truelayer cat'!$E:$E)</f>
        <v>Deduct from expenses</v>
      </c>
    </row>
    <row r="128" spans="1:6" x14ac:dyDescent="0.25">
      <c r="A128" t="s">
        <v>1050</v>
      </c>
      <c r="B128" t="s">
        <v>1075</v>
      </c>
      <c r="C128" t="s">
        <v>474</v>
      </c>
      <c r="D128" t="str">
        <f>_xlfn.XLOOKUP(C128,'Allow&amp;Disa Exp by Truelayer cat'!$B:$B,'Allow&amp;Disa Exp by Truelayer cat'!$C:$C)</f>
        <v>Allowable</v>
      </c>
      <c r="E128" s="116">
        <f>_xlfn.XLOOKUP(C128,'Allow&amp;Disa Exp by Truelayer cat'!$B:$B,'Allow&amp;Disa Exp by Truelayer cat'!$D:$D)</f>
        <v>0</v>
      </c>
      <c r="F128" t="str">
        <f>_xlfn.XLOOKUP(C128,'Allow&amp;Disa Exp by Truelayer cat'!$B:$B,'Allow&amp;Disa Exp by Truelayer cat'!$E:$E)</f>
        <v>Deduct from expenses</v>
      </c>
    </row>
    <row r="129" spans="1:6" x14ac:dyDescent="0.25">
      <c r="A129" t="s">
        <v>1050</v>
      </c>
      <c r="B129" t="s">
        <v>1076</v>
      </c>
      <c r="C129" t="s">
        <v>474</v>
      </c>
      <c r="D129" t="str">
        <f>_xlfn.XLOOKUP(C129,'Allow&amp;Disa Exp by Truelayer cat'!$B:$B,'Allow&amp;Disa Exp by Truelayer cat'!$C:$C)</f>
        <v>Allowable</v>
      </c>
      <c r="E129" s="116">
        <f>_xlfn.XLOOKUP(C129,'Allow&amp;Disa Exp by Truelayer cat'!$B:$B,'Allow&amp;Disa Exp by Truelayer cat'!$D:$D)</f>
        <v>0</v>
      </c>
      <c r="F129" t="str">
        <f>_xlfn.XLOOKUP(C129,'Allow&amp;Disa Exp by Truelayer cat'!$B:$B,'Allow&amp;Disa Exp by Truelayer cat'!$E:$E)</f>
        <v>Deduct from expenses</v>
      </c>
    </row>
    <row r="130" spans="1:6" x14ac:dyDescent="0.25">
      <c r="A130" t="s">
        <v>1050</v>
      </c>
      <c r="B130" t="s">
        <v>1077</v>
      </c>
      <c r="C130" t="s">
        <v>474</v>
      </c>
      <c r="D130" t="str">
        <f>_xlfn.XLOOKUP(C130,'Allow&amp;Disa Exp by Truelayer cat'!$B:$B,'Allow&amp;Disa Exp by Truelayer cat'!$C:$C)</f>
        <v>Allowable</v>
      </c>
      <c r="E130" s="116">
        <f>_xlfn.XLOOKUP(C130,'Allow&amp;Disa Exp by Truelayer cat'!$B:$B,'Allow&amp;Disa Exp by Truelayer cat'!$D:$D)</f>
        <v>0</v>
      </c>
      <c r="F130" t="str">
        <f>_xlfn.XLOOKUP(C130,'Allow&amp;Disa Exp by Truelayer cat'!$B:$B,'Allow&amp;Disa Exp by Truelayer cat'!$E:$E)</f>
        <v>Deduct from expenses</v>
      </c>
    </row>
    <row r="131" spans="1:6" x14ac:dyDescent="0.25">
      <c r="A131" t="s">
        <v>1050</v>
      </c>
      <c r="B131" t="s">
        <v>1078</v>
      </c>
      <c r="C131" t="s">
        <v>474</v>
      </c>
      <c r="D131" t="str">
        <f>_xlfn.XLOOKUP(C131,'Allow&amp;Disa Exp by Truelayer cat'!$B:$B,'Allow&amp;Disa Exp by Truelayer cat'!$C:$C)</f>
        <v>Allowable</v>
      </c>
      <c r="E131" s="116">
        <f>_xlfn.XLOOKUP(C131,'Allow&amp;Disa Exp by Truelayer cat'!$B:$B,'Allow&amp;Disa Exp by Truelayer cat'!$D:$D)</f>
        <v>0</v>
      </c>
      <c r="F131" t="str">
        <f>_xlfn.XLOOKUP(C131,'Allow&amp;Disa Exp by Truelayer cat'!$B:$B,'Allow&amp;Disa Exp by Truelayer cat'!$E:$E)</f>
        <v>Deduct from expenses</v>
      </c>
    </row>
    <row r="132" spans="1:6" x14ac:dyDescent="0.25">
      <c r="A132" t="s">
        <v>1079</v>
      </c>
      <c r="B132" t="s">
        <v>1080</v>
      </c>
      <c r="C132" t="s">
        <v>487</v>
      </c>
      <c r="D132" t="str">
        <f>_xlfn.XLOOKUP(C132,'Allow&amp;Disa Exp by Truelayer cat'!$B:$B,'Allow&amp;Disa Exp by Truelayer cat'!$C:$C)</f>
        <v>Allowable</v>
      </c>
      <c r="E132" s="116">
        <f>_xlfn.XLOOKUP(C132,'Allow&amp;Disa Exp by Truelayer cat'!$B:$B,'Allow&amp;Disa Exp by Truelayer cat'!$D:$D)</f>
        <v>0</v>
      </c>
      <c r="F132" t="str">
        <f>_xlfn.XLOOKUP(C132,'Allow&amp;Disa Exp by Truelayer cat'!$B:$B,'Allow&amp;Disa Exp by Truelayer cat'!$E:$E)</f>
        <v>Deduct from expenses</v>
      </c>
    </row>
    <row r="133" spans="1:6" x14ac:dyDescent="0.25">
      <c r="A133" t="s">
        <v>1079</v>
      </c>
      <c r="B133" t="s">
        <v>1081</v>
      </c>
      <c r="C133" t="s">
        <v>487</v>
      </c>
      <c r="D133" t="str">
        <f>_xlfn.XLOOKUP(C133,'Allow&amp;Disa Exp by Truelayer cat'!$B:$B,'Allow&amp;Disa Exp by Truelayer cat'!$C:$C)</f>
        <v>Allowable</v>
      </c>
      <c r="E133" s="116">
        <f>_xlfn.XLOOKUP(C133,'Allow&amp;Disa Exp by Truelayer cat'!$B:$B,'Allow&amp;Disa Exp by Truelayer cat'!$D:$D)</f>
        <v>0</v>
      </c>
      <c r="F133" t="str">
        <f>_xlfn.XLOOKUP(C133,'Allow&amp;Disa Exp by Truelayer cat'!$B:$B,'Allow&amp;Disa Exp by Truelayer cat'!$E:$E)</f>
        <v>Deduct from expenses</v>
      </c>
    </row>
    <row r="134" spans="1:6" x14ac:dyDescent="0.25">
      <c r="A134" t="s">
        <v>1079</v>
      </c>
      <c r="B134" t="s">
        <v>1082</v>
      </c>
      <c r="C134" t="s">
        <v>487</v>
      </c>
      <c r="D134" t="str">
        <f>_xlfn.XLOOKUP(C134,'Allow&amp;Disa Exp by Truelayer cat'!$B:$B,'Allow&amp;Disa Exp by Truelayer cat'!$C:$C)</f>
        <v>Allowable</v>
      </c>
      <c r="E134" s="116">
        <f>_xlfn.XLOOKUP(C134,'Allow&amp;Disa Exp by Truelayer cat'!$B:$B,'Allow&amp;Disa Exp by Truelayer cat'!$D:$D)</f>
        <v>0</v>
      </c>
      <c r="F134" t="str">
        <f>_xlfn.XLOOKUP(C134,'Allow&amp;Disa Exp by Truelayer cat'!$B:$B,'Allow&amp;Disa Exp by Truelayer cat'!$E:$E)</f>
        <v>Deduct from expenses</v>
      </c>
    </row>
    <row r="135" spans="1:6" x14ac:dyDescent="0.25">
      <c r="A135" t="s">
        <v>1079</v>
      </c>
      <c r="B135" t="s">
        <v>1083</v>
      </c>
      <c r="C135" t="s">
        <v>487</v>
      </c>
      <c r="D135" t="str">
        <f>_xlfn.XLOOKUP(C135,'Allow&amp;Disa Exp by Truelayer cat'!$B:$B,'Allow&amp;Disa Exp by Truelayer cat'!$C:$C)</f>
        <v>Allowable</v>
      </c>
      <c r="E135" s="116">
        <f>_xlfn.XLOOKUP(C135,'Allow&amp;Disa Exp by Truelayer cat'!$B:$B,'Allow&amp;Disa Exp by Truelayer cat'!$D:$D)</f>
        <v>0</v>
      </c>
      <c r="F135" t="str">
        <f>_xlfn.XLOOKUP(C135,'Allow&amp;Disa Exp by Truelayer cat'!$B:$B,'Allow&amp;Disa Exp by Truelayer cat'!$E:$E)</f>
        <v>Deduct from expenses</v>
      </c>
    </row>
    <row r="136" spans="1:6" x14ac:dyDescent="0.25">
      <c r="A136" t="s">
        <v>1079</v>
      </c>
      <c r="B136" t="s">
        <v>1084</v>
      </c>
      <c r="C136" t="s">
        <v>487</v>
      </c>
      <c r="D136" t="str">
        <f>_xlfn.XLOOKUP(C136,'Allow&amp;Disa Exp by Truelayer cat'!$B:$B,'Allow&amp;Disa Exp by Truelayer cat'!$C:$C)</f>
        <v>Allowable</v>
      </c>
      <c r="E136" s="116">
        <f>_xlfn.XLOOKUP(C136,'Allow&amp;Disa Exp by Truelayer cat'!$B:$B,'Allow&amp;Disa Exp by Truelayer cat'!$D:$D)</f>
        <v>0</v>
      </c>
      <c r="F136" t="str">
        <f>_xlfn.XLOOKUP(C136,'Allow&amp;Disa Exp by Truelayer cat'!$B:$B,'Allow&amp;Disa Exp by Truelayer cat'!$E:$E)</f>
        <v>Deduct from expenses</v>
      </c>
    </row>
    <row r="137" spans="1:6" x14ac:dyDescent="0.25">
      <c r="A137" t="s">
        <v>1079</v>
      </c>
      <c r="B137" t="s">
        <v>1085</v>
      </c>
      <c r="C137" t="s">
        <v>487</v>
      </c>
      <c r="D137" t="str">
        <f>_xlfn.XLOOKUP(C137,'Allow&amp;Disa Exp by Truelayer cat'!$B:$B,'Allow&amp;Disa Exp by Truelayer cat'!$C:$C)</f>
        <v>Allowable</v>
      </c>
      <c r="E137" s="116">
        <f>_xlfn.XLOOKUP(C137,'Allow&amp;Disa Exp by Truelayer cat'!$B:$B,'Allow&amp;Disa Exp by Truelayer cat'!$D:$D)</f>
        <v>0</v>
      </c>
      <c r="F137" t="str">
        <f>_xlfn.XLOOKUP(C137,'Allow&amp;Disa Exp by Truelayer cat'!$B:$B,'Allow&amp;Disa Exp by Truelayer cat'!$E:$E)</f>
        <v>Deduct from expenses</v>
      </c>
    </row>
    <row r="138" spans="1:6" x14ac:dyDescent="0.25">
      <c r="A138" t="s">
        <v>1079</v>
      </c>
      <c r="B138" t="s">
        <v>1086</v>
      </c>
      <c r="C138" t="s">
        <v>487</v>
      </c>
      <c r="D138" t="str">
        <f>_xlfn.XLOOKUP(C138,'Allow&amp;Disa Exp by Truelayer cat'!$B:$B,'Allow&amp;Disa Exp by Truelayer cat'!$C:$C)</f>
        <v>Allowable</v>
      </c>
      <c r="E138" s="116">
        <f>_xlfn.XLOOKUP(C138,'Allow&amp;Disa Exp by Truelayer cat'!$B:$B,'Allow&amp;Disa Exp by Truelayer cat'!$D:$D)</f>
        <v>0</v>
      </c>
      <c r="F138" t="str">
        <f>_xlfn.XLOOKUP(C138,'Allow&amp;Disa Exp by Truelayer cat'!$B:$B,'Allow&amp;Disa Exp by Truelayer cat'!$E:$E)</f>
        <v>Deduct from expenses</v>
      </c>
    </row>
    <row r="139" spans="1:6" x14ac:dyDescent="0.25">
      <c r="A139" t="s">
        <v>1079</v>
      </c>
      <c r="B139" t="s">
        <v>1087</v>
      </c>
      <c r="C139" t="s">
        <v>487</v>
      </c>
      <c r="D139" t="str">
        <f>_xlfn.XLOOKUP(C139,'Allow&amp;Disa Exp by Truelayer cat'!$B:$B,'Allow&amp;Disa Exp by Truelayer cat'!$C:$C)</f>
        <v>Allowable</v>
      </c>
      <c r="E139" s="116">
        <f>_xlfn.XLOOKUP(C139,'Allow&amp;Disa Exp by Truelayer cat'!$B:$B,'Allow&amp;Disa Exp by Truelayer cat'!$D:$D)</f>
        <v>0</v>
      </c>
      <c r="F139" t="str">
        <f>_xlfn.XLOOKUP(C139,'Allow&amp;Disa Exp by Truelayer cat'!$B:$B,'Allow&amp;Disa Exp by Truelayer cat'!$E:$E)</f>
        <v>Deduct from expenses</v>
      </c>
    </row>
    <row r="140" spans="1:6" x14ac:dyDescent="0.25">
      <c r="A140" t="s">
        <v>1079</v>
      </c>
      <c r="B140" t="s">
        <v>1088</v>
      </c>
      <c r="C140" t="s">
        <v>487</v>
      </c>
      <c r="D140" t="str">
        <f>_xlfn.XLOOKUP(C140,'Allow&amp;Disa Exp by Truelayer cat'!$B:$B,'Allow&amp;Disa Exp by Truelayer cat'!$C:$C)</f>
        <v>Allowable</v>
      </c>
      <c r="E140" s="116">
        <f>_xlfn.XLOOKUP(C140,'Allow&amp;Disa Exp by Truelayer cat'!$B:$B,'Allow&amp;Disa Exp by Truelayer cat'!$D:$D)</f>
        <v>0</v>
      </c>
      <c r="F140" t="str">
        <f>_xlfn.XLOOKUP(C140,'Allow&amp;Disa Exp by Truelayer cat'!$B:$B,'Allow&amp;Disa Exp by Truelayer cat'!$E:$E)</f>
        <v>Deduct from expenses</v>
      </c>
    </row>
    <row r="141" spans="1:6" x14ac:dyDescent="0.25">
      <c r="A141" t="s">
        <v>1079</v>
      </c>
      <c r="B141" t="s">
        <v>1089</v>
      </c>
      <c r="C141" t="s">
        <v>487</v>
      </c>
      <c r="D141" t="str">
        <f>_xlfn.XLOOKUP(C141,'Allow&amp;Disa Exp by Truelayer cat'!$B:$B,'Allow&amp;Disa Exp by Truelayer cat'!$C:$C)</f>
        <v>Allowable</v>
      </c>
      <c r="E141" s="116">
        <f>_xlfn.XLOOKUP(C141,'Allow&amp;Disa Exp by Truelayer cat'!$B:$B,'Allow&amp;Disa Exp by Truelayer cat'!$D:$D)</f>
        <v>0</v>
      </c>
      <c r="F141" t="str">
        <f>_xlfn.XLOOKUP(C141,'Allow&amp;Disa Exp by Truelayer cat'!$B:$B,'Allow&amp;Disa Exp by Truelayer cat'!$E:$E)</f>
        <v>Deduct from expenses</v>
      </c>
    </row>
    <row r="142" spans="1:6" x14ac:dyDescent="0.25">
      <c r="A142" t="s">
        <v>1079</v>
      </c>
      <c r="B142" t="s">
        <v>1090</v>
      </c>
      <c r="C142" t="s">
        <v>487</v>
      </c>
      <c r="D142" t="str">
        <f>_xlfn.XLOOKUP(C142,'Allow&amp;Disa Exp by Truelayer cat'!$B:$B,'Allow&amp;Disa Exp by Truelayer cat'!$C:$C)</f>
        <v>Allowable</v>
      </c>
      <c r="E142" s="116">
        <f>_xlfn.XLOOKUP(C142,'Allow&amp;Disa Exp by Truelayer cat'!$B:$B,'Allow&amp;Disa Exp by Truelayer cat'!$D:$D)</f>
        <v>0</v>
      </c>
      <c r="F142" t="str">
        <f>_xlfn.XLOOKUP(C142,'Allow&amp;Disa Exp by Truelayer cat'!$B:$B,'Allow&amp;Disa Exp by Truelayer cat'!$E:$E)</f>
        <v>Deduct from expenses</v>
      </c>
    </row>
    <row r="143" spans="1:6" x14ac:dyDescent="0.25">
      <c r="A143" t="s">
        <v>1079</v>
      </c>
      <c r="B143" t="s">
        <v>1091</v>
      </c>
      <c r="C143" t="s">
        <v>487</v>
      </c>
      <c r="D143" t="str">
        <f>_xlfn.XLOOKUP(C143,'Allow&amp;Disa Exp by Truelayer cat'!$B:$B,'Allow&amp;Disa Exp by Truelayer cat'!$C:$C)</f>
        <v>Allowable</v>
      </c>
      <c r="E143" s="116">
        <f>_xlfn.XLOOKUP(C143,'Allow&amp;Disa Exp by Truelayer cat'!$B:$B,'Allow&amp;Disa Exp by Truelayer cat'!$D:$D)</f>
        <v>0</v>
      </c>
      <c r="F143" t="str">
        <f>_xlfn.XLOOKUP(C143,'Allow&amp;Disa Exp by Truelayer cat'!$B:$B,'Allow&amp;Disa Exp by Truelayer cat'!$E:$E)</f>
        <v>Deduct from expenses</v>
      </c>
    </row>
    <row r="144" spans="1:6" x14ac:dyDescent="0.25">
      <c r="A144" t="s">
        <v>1079</v>
      </c>
      <c r="B144" t="s">
        <v>1092</v>
      </c>
      <c r="C144" t="s">
        <v>487</v>
      </c>
      <c r="D144" t="str">
        <f>_xlfn.XLOOKUP(C144,'Allow&amp;Disa Exp by Truelayer cat'!$B:$B,'Allow&amp;Disa Exp by Truelayer cat'!$C:$C)</f>
        <v>Allowable</v>
      </c>
      <c r="E144" s="116">
        <f>_xlfn.XLOOKUP(C144,'Allow&amp;Disa Exp by Truelayer cat'!$B:$B,'Allow&amp;Disa Exp by Truelayer cat'!$D:$D)</f>
        <v>0</v>
      </c>
      <c r="F144" t="str">
        <f>_xlfn.XLOOKUP(C144,'Allow&amp;Disa Exp by Truelayer cat'!$B:$B,'Allow&amp;Disa Exp by Truelayer cat'!$E:$E)</f>
        <v>Deduct from expenses</v>
      </c>
    </row>
    <row r="145" spans="1:6" x14ac:dyDescent="0.25">
      <c r="A145" t="s">
        <v>1079</v>
      </c>
      <c r="B145" t="s">
        <v>1093</v>
      </c>
      <c r="C145" t="s">
        <v>487</v>
      </c>
      <c r="D145" t="str">
        <f>_xlfn.XLOOKUP(C145,'Allow&amp;Disa Exp by Truelayer cat'!$B:$B,'Allow&amp;Disa Exp by Truelayer cat'!$C:$C)</f>
        <v>Allowable</v>
      </c>
      <c r="E145" s="116">
        <f>_xlfn.XLOOKUP(C145,'Allow&amp;Disa Exp by Truelayer cat'!$B:$B,'Allow&amp;Disa Exp by Truelayer cat'!$D:$D)</f>
        <v>0</v>
      </c>
      <c r="F145" t="str">
        <f>_xlfn.XLOOKUP(C145,'Allow&amp;Disa Exp by Truelayer cat'!$B:$B,'Allow&amp;Disa Exp by Truelayer cat'!$E:$E)</f>
        <v>Deduct from expenses</v>
      </c>
    </row>
    <row r="146" spans="1:6" x14ac:dyDescent="0.25">
      <c r="A146" t="s">
        <v>1079</v>
      </c>
      <c r="B146" t="s">
        <v>1094</v>
      </c>
      <c r="C146" t="s">
        <v>487</v>
      </c>
      <c r="D146" t="str">
        <f>_xlfn.XLOOKUP(C146,'Allow&amp;Disa Exp by Truelayer cat'!$B:$B,'Allow&amp;Disa Exp by Truelayer cat'!$C:$C)</f>
        <v>Allowable</v>
      </c>
      <c r="E146" s="116">
        <f>_xlfn.XLOOKUP(C146,'Allow&amp;Disa Exp by Truelayer cat'!$B:$B,'Allow&amp;Disa Exp by Truelayer cat'!$D:$D)</f>
        <v>0</v>
      </c>
      <c r="F146" t="str">
        <f>_xlfn.XLOOKUP(C146,'Allow&amp;Disa Exp by Truelayer cat'!$B:$B,'Allow&amp;Disa Exp by Truelayer cat'!$E:$E)</f>
        <v>Deduct from expenses</v>
      </c>
    </row>
    <row r="147" spans="1:6" x14ac:dyDescent="0.25">
      <c r="A147" t="s">
        <v>1079</v>
      </c>
      <c r="B147" t="s">
        <v>1095</v>
      </c>
      <c r="C147" t="s">
        <v>487</v>
      </c>
      <c r="D147" t="str">
        <f>_xlfn.XLOOKUP(C147,'Allow&amp;Disa Exp by Truelayer cat'!$B:$B,'Allow&amp;Disa Exp by Truelayer cat'!$C:$C)</f>
        <v>Allowable</v>
      </c>
      <c r="E147" s="116">
        <f>_xlfn.XLOOKUP(C147,'Allow&amp;Disa Exp by Truelayer cat'!$B:$B,'Allow&amp;Disa Exp by Truelayer cat'!$D:$D)</f>
        <v>0</v>
      </c>
      <c r="F147" t="str">
        <f>_xlfn.XLOOKUP(C147,'Allow&amp;Disa Exp by Truelayer cat'!$B:$B,'Allow&amp;Disa Exp by Truelayer cat'!$E:$E)</f>
        <v>Deduct from expenses</v>
      </c>
    </row>
    <row r="148" spans="1:6" x14ac:dyDescent="0.25">
      <c r="A148" t="s">
        <v>1079</v>
      </c>
      <c r="B148" t="s">
        <v>1096</v>
      </c>
      <c r="C148" t="s">
        <v>487</v>
      </c>
      <c r="D148" t="str">
        <f>_xlfn.XLOOKUP(C148,'Allow&amp;Disa Exp by Truelayer cat'!$B:$B,'Allow&amp;Disa Exp by Truelayer cat'!$C:$C)</f>
        <v>Allowable</v>
      </c>
      <c r="E148" s="116">
        <f>_xlfn.XLOOKUP(C148,'Allow&amp;Disa Exp by Truelayer cat'!$B:$B,'Allow&amp;Disa Exp by Truelayer cat'!$D:$D)</f>
        <v>0</v>
      </c>
      <c r="F148" t="str">
        <f>_xlfn.XLOOKUP(C148,'Allow&amp;Disa Exp by Truelayer cat'!$B:$B,'Allow&amp;Disa Exp by Truelayer cat'!$E:$E)</f>
        <v>Deduct from expenses</v>
      </c>
    </row>
    <row r="149" spans="1:6" x14ac:dyDescent="0.25">
      <c r="A149" t="s">
        <v>1079</v>
      </c>
      <c r="B149" t="s">
        <v>1097</v>
      </c>
      <c r="C149" t="s">
        <v>487</v>
      </c>
      <c r="D149" t="str">
        <f>_xlfn.XLOOKUP(C149,'Allow&amp;Disa Exp by Truelayer cat'!$B:$B,'Allow&amp;Disa Exp by Truelayer cat'!$C:$C)</f>
        <v>Allowable</v>
      </c>
      <c r="E149" s="116">
        <f>_xlfn.XLOOKUP(C149,'Allow&amp;Disa Exp by Truelayer cat'!$B:$B,'Allow&amp;Disa Exp by Truelayer cat'!$D:$D)</f>
        <v>0</v>
      </c>
      <c r="F149" t="str">
        <f>_xlfn.XLOOKUP(C149,'Allow&amp;Disa Exp by Truelayer cat'!$B:$B,'Allow&amp;Disa Exp by Truelayer cat'!$E:$E)</f>
        <v>Deduct from expenses</v>
      </c>
    </row>
    <row r="150" spans="1:6" x14ac:dyDescent="0.25">
      <c r="A150" t="s">
        <v>1079</v>
      </c>
      <c r="B150" t="s">
        <v>1098</v>
      </c>
      <c r="C150" t="s">
        <v>487</v>
      </c>
      <c r="D150" t="str">
        <f>_xlfn.XLOOKUP(C150,'Allow&amp;Disa Exp by Truelayer cat'!$B:$B,'Allow&amp;Disa Exp by Truelayer cat'!$C:$C)</f>
        <v>Allowable</v>
      </c>
      <c r="E150" s="116">
        <f>_xlfn.XLOOKUP(C150,'Allow&amp;Disa Exp by Truelayer cat'!$B:$B,'Allow&amp;Disa Exp by Truelayer cat'!$D:$D)</f>
        <v>0</v>
      </c>
      <c r="F150" t="str">
        <f>_xlfn.XLOOKUP(C150,'Allow&amp;Disa Exp by Truelayer cat'!$B:$B,'Allow&amp;Disa Exp by Truelayer cat'!$E:$E)</f>
        <v>Deduct from expenses</v>
      </c>
    </row>
    <row r="151" spans="1:6" x14ac:dyDescent="0.25">
      <c r="A151" t="s">
        <v>1079</v>
      </c>
      <c r="B151" t="s">
        <v>1099</v>
      </c>
      <c r="C151" t="s">
        <v>487</v>
      </c>
      <c r="D151" t="str">
        <f>_xlfn.XLOOKUP(C151,'Allow&amp;Disa Exp by Truelayer cat'!$B:$B,'Allow&amp;Disa Exp by Truelayer cat'!$C:$C)</f>
        <v>Allowable</v>
      </c>
      <c r="E151" s="116">
        <f>_xlfn.XLOOKUP(C151,'Allow&amp;Disa Exp by Truelayer cat'!$B:$B,'Allow&amp;Disa Exp by Truelayer cat'!$D:$D)</f>
        <v>0</v>
      </c>
      <c r="F151" t="str">
        <f>_xlfn.XLOOKUP(C151,'Allow&amp;Disa Exp by Truelayer cat'!$B:$B,'Allow&amp;Disa Exp by Truelayer cat'!$E:$E)</f>
        <v>Deduct from expenses</v>
      </c>
    </row>
    <row r="152" spans="1:6" x14ac:dyDescent="0.25">
      <c r="A152" t="s">
        <v>1079</v>
      </c>
      <c r="B152" t="s">
        <v>1100</v>
      </c>
      <c r="C152" t="s">
        <v>487</v>
      </c>
      <c r="D152" t="str">
        <f>_xlfn.XLOOKUP(C152,'Allow&amp;Disa Exp by Truelayer cat'!$B:$B,'Allow&amp;Disa Exp by Truelayer cat'!$C:$C)</f>
        <v>Allowable</v>
      </c>
      <c r="E152" s="116">
        <f>_xlfn.XLOOKUP(C152,'Allow&amp;Disa Exp by Truelayer cat'!$B:$B,'Allow&amp;Disa Exp by Truelayer cat'!$D:$D)</f>
        <v>0</v>
      </c>
      <c r="F152" t="str">
        <f>_xlfn.XLOOKUP(C152,'Allow&amp;Disa Exp by Truelayer cat'!$B:$B,'Allow&amp;Disa Exp by Truelayer cat'!$E:$E)</f>
        <v>Deduct from expenses</v>
      </c>
    </row>
    <row r="153" spans="1:6" x14ac:dyDescent="0.25">
      <c r="A153" t="s">
        <v>1079</v>
      </c>
      <c r="B153" t="s">
        <v>1101</v>
      </c>
      <c r="C153" t="s">
        <v>487</v>
      </c>
      <c r="D153" t="str">
        <f>_xlfn.XLOOKUP(C153,'Allow&amp;Disa Exp by Truelayer cat'!$B:$B,'Allow&amp;Disa Exp by Truelayer cat'!$C:$C)</f>
        <v>Allowable</v>
      </c>
      <c r="E153" s="116">
        <f>_xlfn.XLOOKUP(C153,'Allow&amp;Disa Exp by Truelayer cat'!$B:$B,'Allow&amp;Disa Exp by Truelayer cat'!$D:$D)</f>
        <v>0</v>
      </c>
      <c r="F153" t="str">
        <f>_xlfn.XLOOKUP(C153,'Allow&amp;Disa Exp by Truelayer cat'!$B:$B,'Allow&amp;Disa Exp by Truelayer cat'!$E:$E)</f>
        <v>Deduct from expenses</v>
      </c>
    </row>
    <row r="154" spans="1:6" x14ac:dyDescent="0.25">
      <c r="A154" t="s">
        <v>1079</v>
      </c>
      <c r="B154" t="s">
        <v>1102</v>
      </c>
      <c r="C154" t="s">
        <v>487</v>
      </c>
      <c r="D154" t="str">
        <f>_xlfn.XLOOKUP(C154,'Allow&amp;Disa Exp by Truelayer cat'!$B:$B,'Allow&amp;Disa Exp by Truelayer cat'!$C:$C)</f>
        <v>Allowable</v>
      </c>
      <c r="E154" s="116">
        <f>_xlfn.XLOOKUP(C154,'Allow&amp;Disa Exp by Truelayer cat'!$B:$B,'Allow&amp;Disa Exp by Truelayer cat'!$D:$D)</f>
        <v>0</v>
      </c>
      <c r="F154" t="str">
        <f>_xlfn.XLOOKUP(C154,'Allow&amp;Disa Exp by Truelayer cat'!$B:$B,'Allow&amp;Disa Exp by Truelayer cat'!$E:$E)</f>
        <v>Deduct from expenses</v>
      </c>
    </row>
    <row r="155" spans="1:6" x14ac:dyDescent="0.25">
      <c r="A155" t="s">
        <v>1079</v>
      </c>
      <c r="B155" t="s">
        <v>1103</v>
      </c>
      <c r="C155" t="s">
        <v>487</v>
      </c>
      <c r="D155" t="str">
        <f>_xlfn.XLOOKUP(C155,'Allow&amp;Disa Exp by Truelayer cat'!$B:$B,'Allow&amp;Disa Exp by Truelayer cat'!$C:$C)</f>
        <v>Allowable</v>
      </c>
      <c r="E155" s="116">
        <f>_xlfn.XLOOKUP(C155,'Allow&amp;Disa Exp by Truelayer cat'!$B:$B,'Allow&amp;Disa Exp by Truelayer cat'!$D:$D)</f>
        <v>0</v>
      </c>
      <c r="F155" t="str">
        <f>_xlfn.XLOOKUP(C155,'Allow&amp;Disa Exp by Truelayer cat'!$B:$B,'Allow&amp;Disa Exp by Truelayer cat'!$E:$E)</f>
        <v>Deduct from expenses</v>
      </c>
    </row>
    <row r="156" spans="1:6" x14ac:dyDescent="0.25">
      <c r="A156" t="s">
        <v>1079</v>
      </c>
      <c r="B156" t="s">
        <v>1104</v>
      </c>
      <c r="C156" t="s">
        <v>487</v>
      </c>
      <c r="D156" t="str">
        <f>_xlfn.XLOOKUP(C156,'Allow&amp;Disa Exp by Truelayer cat'!$B:$B,'Allow&amp;Disa Exp by Truelayer cat'!$C:$C)</f>
        <v>Allowable</v>
      </c>
      <c r="E156" s="116">
        <f>_xlfn.XLOOKUP(C156,'Allow&amp;Disa Exp by Truelayer cat'!$B:$B,'Allow&amp;Disa Exp by Truelayer cat'!$D:$D)</f>
        <v>0</v>
      </c>
      <c r="F156" t="str">
        <f>_xlfn.XLOOKUP(C156,'Allow&amp;Disa Exp by Truelayer cat'!$B:$B,'Allow&amp;Disa Exp by Truelayer cat'!$E:$E)</f>
        <v>Deduct from expenses</v>
      </c>
    </row>
    <row r="157" spans="1:6" x14ac:dyDescent="0.25">
      <c r="A157" t="s">
        <v>1079</v>
      </c>
      <c r="B157" t="s">
        <v>1105</v>
      </c>
      <c r="C157" t="s">
        <v>487</v>
      </c>
      <c r="D157" t="str">
        <f>_xlfn.XLOOKUP(C157,'Allow&amp;Disa Exp by Truelayer cat'!$B:$B,'Allow&amp;Disa Exp by Truelayer cat'!$C:$C)</f>
        <v>Allowable</v>
      </c>
      <c r="E157" s="116">
        <f>_xlfn.XLOOKUP(C157,'Allow&amp;Disa Exp by Truelayer cat'!$B:$B,'Allow&amp;Disa Exp by Truelayer cat'!$D:$D)</f>
        <v>0</v>
      </c>
      <c r="F157" t="str">
        <f>_xlfn.XLOOKUP(C157,'Allow&amp;Disa Exp by Truelayer cat'!$B:$B,'Allow&amp;Disa Exp by Truelayer cat'!$E:$E)</f>
        <v>Deduct from expenses</v>
      </c>
    </row>
    <row r="158" spans="1:6" x14ac:dyDescent="0.25">
      <c r="A158" t="s">
        <v>1079</v>
      </c>
      <c r="B158" t="s">
        <v>1106</v>
      </c>
      <c r="C158" t="s">
        <v>487</v>
      </c>
      <c r="D158" t="str">
        <f>_xlfn.XLOOKUP(C158,'Allow&amp;Disa Exp by Truelayer cat'!$B:$B,'Allow&amp;Disa Exp by Truelayer cat'!$C:$C)</f>
        <v>Allowable</v>
      </c>
      <c r="E158" s="116">
        <f>_xlfn.XLOOKUP(C158,'Allow&amp;Disa Exp by Truelayer cat'!$B:$B,'Allow&amp;Disa Exp by Truelayer cat'!$D:$D)</f>
        <v>0</v>
      </c>
      <c r="F158" t="str">
        <f>_xlfn.XLOOKUP(C158,'Allow&amp;Disa Exp by Truelayer cat'!$B:$B,'Allow&amp;Disa Exp by Truelayer cat'!$E:$E)</f>
        <v>Deduct from expenses</v>
      </c>
    </row>
    <row r="159" spans="1:6" x14ac:dyDescent="0.25">
      <c r="A159" t="s">
        <v>1079</v>
      </c>
      <c r="B159" t="s">
        <v>1107</v>
      </c>
      <c r="C159" t="s">
        <v>487</v>
      </c>
      <c r="D159" t="str">
        <f>_xlfn.XLOOKUP(C159,'Allow&amp;Disa Exp by Truelayer cat'!$B:$B,'Allow&amp;Disa Exp by Truelayer cat'!$C:$C)</f>
        <v>Allowable</v>
      </c>
      <c r="E159" s="116">
        <f>_xlfn.XLOOKUP(C159,'Allow&amp;Disa Exp by Truelayer cat'!$B:$B,'Allow&amp;Disa Exp by Truelayer cat'!$D:$D)</f>
        <v>0</v>
      </c>
      <c r="F159" t="str">
        <f>_xlfn.XLOOKUP(C159,'Allow&amp;Disa Exp by Truelayer cat'!$B:$B,'Allow&amp;Disa Exp by Truelayer cat'!$E:$E)</f>
        <v>Deduct from expenses</v>
      </c>
    </row>
    <row r="160" spans="1:6" x14ac:dyDescent="0.25">
      <c r="A160" t="s">
        <v>1079</v>
      </c>
      <c r="B160" t="s">
        <v>1108</v>
      </c>
      <c r="C160" t="s">
        <v>487</v>
      </c>
      <c r="D160" t="str">
        <f>_xlfn.XLOOKUP(C160,'Allow&amp;Disa Exp by Truelayer cat'!$B:$B,'Allow&amp;Disa Exp by Truelayer cat'!$C:$C)</f>
        <v>Allowable</v>
      </c>
      <c r="E160" s="116">
        <f>_xlfn.XLOOKUP(C160,'Allow&amp;Disa Exp by Truelayer cat'!$B:$B,'Allow&amp;Disa Exp by Truelayer cat'!$D:$D)</f>
        <v>0</v>
      </c>
      <c r="F160" t="str">
        <f>_xlfn.XLOOKUP(C160,'Allow&amp;Disa Exp by Truelayer cat'!$B:$B,'Allow&amp;Disa Exp by Truelayer cat'!$E:$E)</f>
        <v>Deduct from expenses</v>
      </c>
    </row>
    <row r="161" spans="1:6" x14ac:dyDescent="0.25">
      <c r="A161" t="s">
        <v>1079</v>
      </c>
      <c r="B161" t="s">
        <v>1109</v>
      </c>
      <c r="C161" t="s">
        <v>487</v>
      </c>
      <c r="D161" t="str">
        <f>_xlfn.XLOOKUP(C161,'Allow&amp;Disa Exp by Truelayer cat'!$B:$B,'Allow&amp;Disa Exp by Truelayer cat'!$C:$C)</f>
        <v>Allowable</v>
      </c>
      <c r="E161" s="116">
        <f>_xlfn.XLOOKUP(C161,'Allow&amp;Disa Exp by Truelayer cat'!$B:$B,'Allow&amp;Disa Exp by Truelayer cat'!$D:$D)</f>
        <v>0</v>
      </c>
      <c r="F161" t="str">
        <f>_xlfn.XLOOKUP(C161,'Allow&amp;Disa Exp by Truelayer cat'!$B:$B,'Allow&amp;Disa Exp by Truelayer cat'!$E:$E)</f>
        <v>Deduct from expenses</v>
      </c>
    </row>
    <row r="162" spans="1:6" x14ac:dyDescent="0.25">
      <c r="A162" t="s">
        <v>1079</v>
      </c>
      <c r="B162" t="s">
        <v>1110</v>
      </c>
      <c r="C162" t="s">
        <v>487</v>
      </c>
      <c r="D162" t="str">
        <f>_xlfn.XLOOKUP(C162,'Allow&amp;Disa Exp by Truelayer cat'!$B:$B,'Allow&amp;Disa Exp by Truelayer cat'!$C:$C)</f>
        <v>Allowable</v>
      </c>
      <c r="E162" s="116">
        <f>_xlfn.XLOOKUP(C162,'Allow&amp;Disa Exp by Truelayer cat'!$B:$B,'Allow&amp;Disa Exp by Truelayer cat'!$D:$D)</f>
        <v>0</v>
      </c>
      <c r="F162" t="str">
        <f>_xlfn.XLOOKUP(C162,'Allow&amp;Disa Exp by Truelayer cat'!$B:$B,'Allow&amp;Disa Exp by Truelayer cat'!$E:$E)</f>
        <v>Deduct from expenses</v>
      </c>
    </row>
    <row r="163" spans="1:6" x14ac:dyDescent="0.25">
      <c r="A163" t="s">
        <v>1079</v>
      </c>
      <c r="B163" t="s">
        <v>1111</v>
      </c>
      <c r="C163" t="s">
        <v>487</v>
      </c>
      <c r="D163" t="str">
        <f>_xlfn.XLOOKUP(C163,'Allow&amp;Disa Exp by Truelayer cat'!$B:$B,'Allow&amp;Disa Exp by Truelayer cat'!$C:$C)</f>
        <v>Allowable</v>
      </c>
      <c r="E163" s="116">
        <f>_xlfn.XLOOKUP(C163,'Allow&amp;Disa Exp by Truelayer cat'!$B:$B,'Allow&amp;Disa Exp by Truelayer cat'!$D:$D)</f>
        <v>0</v>
      </c>
      <c r="F163" t="str">
        <f>_xlfn.XLOOKUP(C163,'Allow&amp;Disa Exp by Truelayer cat'!$B:$B,'Allow&amp;Disa Exp by Truelayer cat'!$E:$E)</f>
        <v>Deduct from expenses</v>
      </c>
    </row>
    <row r="164" spans="1:6" x14ac:dyDescent="0.25">
      <c r="A164" t="s">
        <v>1079</v>
      </c>
      <c r="B164" t="s">
        <v>1112</v>
      </c>
      <c r="C164" t="s">
        <v>487</v>
      </c>
      <c r="D164" t="str">
        <f>_xlfn.XLOOKUP(C164,'Allow&amp;Disa Exp by Truelayer cat'!$B:$B,'Allow&amp;Disa Exp by Truelayer cat'!$C:$C)</f>
        <v>Allowable</v>
      </c>
      <c r="E164" s="116">
        <f>_xlfn.XLOOKUP(C164,'Allow&amp;Disa Exp by Truelayer cat'!$B:$B,'Allow&amp;Disa Exp by Truelayer cat'!$D:$D)</f>
        <v>0</v>
      </c>
      <c r="F164" t="str">
        <f>_xlfn.XLOOKUP(C164,'Allow&amp;Disa Exp by Truelayer cat'!$B:$B,'Allow&amp;Disa Exp by Truelayer cat'!$E:$E)</f>
        <v>Deduct from expenses</v>
      </c>
    </row>
    <row r="165" spans="1:6" x14ac:dyDescent="0.25">
      <c r="A165" t="s">
        <v>1079</v>
      </c>
      <c r="B165" t="s">
        <v>1113</v>
      </c>
      <c r="C165" t="s">
        <v>487</v>
      </c>
      <c r="D165" t="str">
        <f>_xlfn.XLOOKUP(C165,'Allow&amp;Disa Exp by Truelayer cat'!$B:$B,'Allow&amp;Disa Exp by Truelayer cat'!$C:$C)</f>
        <v>Allowable</v>
      </c>
      <c r="E165" s="116">
        <f>_xlfn.XLOOKUP(C165,'Allow&amp;Disa Exp by Truelayer cat'!$B:$B,'Allow&amp;Disa Exp by Truelayer cat'!$D:$D)</f>
        <v>0</v>
      </c>
      <c r="F165" t="str">
        <f>_xlfn.XLOOKUP(C165,'Allow&amp;Disa Exp by Truelayer cat'!$B:$B,'Allow&amp;Disa Exp by Truelayer cat'!$E:$E)</f>
        <v>Deduct from expenses</v>
      </c>
    </row>
    <row r="166" spans="1:6" x14ac:dyDescent="0.25">
      <c r="A166" t="s">
        <v>1079</v>
      </c>
      <c r="B166" t="s">
        <v>1114</v>
      </c>
      <c r="C166" t="s">
        <v>487</v>
      </c>
      <c r="D166" t="str">
        <f>_xlfn.XLOOKUP(C166,'Allow&amp;Disa Exp by Truelayer cat'!$B:$B,'Allow&amp;Disa Exp by Truelayer cat'!$C:$C)</f>
        <v>Allowable</v>
      </c>
      <c r="E166" s="116">
        <f>_xlfn.XLOOKUP(C166,'Allow&amp;Disa Exp by Truelayer cat'!$B:$B,'Allow&amp;Disa Exp by Truelayer cat'!$D:$D)</f>
        <v>0</v>
      </c>
      <c r="F166" t="str">
        <f>_xlfn.XLOOKUP(C166,'Allow&amp;Disa Exp by Truelayer cat'!$B:$B,'Allow&amp;Disa Exp by Truelayer cat'!$E:$E)</f>
        <v>Deduct from expenses</v>
      </c>
    </row>
    <row r="167" spans="1:6" x14ac:dyDescent="0.25">
      <c r="A167" t="s">
        <v>1079</v>
      </c>
      <c r="B167" t="s">
        <v>1115</v>
      </c>
      <c r="C167" t="s">
        <v>487</v>
      </c>
      <c r="D167" t="str">
        <f>_xlfn.XLOOKUP(C167,'Allow&amp;Disa Exp by Truelayer cat'!$B:$B,'Allow&amp;Disa Exp by Truelayer cat'!$C:$C)</f>
        <v>Allowable</v>
      </c>
      <c r="E167" s="116">
        <f>_xlfn.XLOOKUP(C167,'Allow&amp;Disa Exp by Truelayer cat'!$B:$B,'Allow&amp;Disa Exp by Truelayer cat'!$D:$D)</f>
        <v>0</v>
      </c>
      <c r="F167" t="str">
        <f>_xlfn.XLOOKUP(C167,'Allow&amp;Disa Exp by Truelayer cat'!$B:$B,'Allow&amp;Disa Exp by Truelayer cat'!$E:$E)</f>
        <v>Deduct from expenses</v>
      </c>
    </row>
    <row r="168" spans="1:6" x14ac:dyDescent="0.25">
      <c r="A168" t="s">
        <v>1079</v>
      </c>
      <c r="B168" t="s">
        <v>1116</v>
      </c>
      <c r="C168" t="s">
        <v>487</v>
      </c>
      <c r="D168" t="str">
        <f>_xlfn.XLOOKUP(C168,'Allow&amp;Disa Exp by Truelayer cat'!$B:$B,'Allow&amp;Disa Exp by Truelayer cat'!$C:$C)</f>
        <v>Allowable</v>
      </c>
      <c r="E168" s="116">
        <f>_xlfn.XLOOKUP(C168,'Allow&amp;Disa Exp by Truelayer cat'!$B:$B,'Allow&amp;Disa Exp by Truelayer cat'!$D:$D)</f>
        <v>0</v>
      </c>
      <c r="F168" t="str">
        <f>_xlfn.XLOOKUP(C168,'Allow&amp;Disa Exp by Truelayer cat'!$B:$B,'Allow&amp;Disa Exp by Truelayer cat'!$E:$E)</f>
        <v>Deduct from expenses</v>
      </c>
    </row>
    <row r="169" spans="1:6" x14ac:dyDescent="0.25">
      <c r="A169" t="s">
        <v>1079</v>
      </c>
      <c r="B169" t="s">
        <v>1117</v>
      </c>
      <c r="C169" t="s">
        <v>487</v>
      </c>
      <c r="D169" t="str">
        <f>_xlfn.XLOOKUP(C169,'Allow&amp;Disa Exp by Truelayer cat'!$B:$B,'Allow&amp;Disa Exp by Truelayer cat'!$C:$C)</f>
        <v>Allowable</v>
      </c>
      <c r="E169" s="116">
        <f>_xlfn.XLOOKUP(C169,'Allow&amp;Disa Exp by Truelayer cat'!$B:$B,'Allow&amp;Disa Exp by Truelayer cat'!$D:$D)</f>
        <v>0</v>
      </c>
      <c r="F169" t="str">
        <f>_xlfn.XLOOKUP(C169,'Allow&amp;Disa Exp by Truelayer cat'!$B:$B,'Allow&amp;Disa Exp by Truelayer cat'!$E:$E)</f>
        <v>Deduct from expenses</v>
      </c>
    </row>
    <row r="170" spans="1:6" x14ac:dyDescent="0.25">
      <c r="A170" t="s">
        <v>1079</v>
      </c>
      <c r="B170" t="s">
        <v>1118</v>
      </c>
      <c r="C170" t="s">
        <v>487</v>
      </c>
      <c r="D170" t="str">
        <f>_xlfn.XLOOKUP(C170,'Allow&amp;Disa Exp by Truelayer cat'!$B:$B,'Allow&amp;Disa Exp by Truelayer cat'!$C:$C)</f>
        <v>Allowable</v>
      </c>
      <c r="E170" s="116">
        <f>_xlfn.XLOOKUP(C170,'Allow&amp;Disa Exp by Truelayer cat'!$B:$B,'Allow&amp;Disa Exp by Truelayer cat'!$D:$D)</f>
        <v>0</v>
      </c>
      <c r="F170" t="str">
        <f>_xlfn.XLOOKUP(C170,'Allow&amp;Disa Exp by Truelayer cat'!$B:$B,'Allow&amp;Disa Exp by Truelayer cat'!$E:$E)</f>
        <v>Deduct from expenses</v>
      </c>
    </row>
    <row r="171" spans="1:6" x14ac:dyDescent="0.25">
      <c r="A171" t="s">
        <v>1079</v>
      </c>
      <c r="B171" t="s">
        <v>1119</v>
      </c>
      <c r="C171" t="s">
        <v>487</v>
      </c>
      <c r="D171" t="str">
        <f>_xlfn.XLOOKUP(C171,'Allow&amp;Disa Exp by Truelayer cat'!$B:$B,'Allow&amp;Disa Exp by Truelayer cat'!$C:$C)</f>
        <v>Allowable</v>
      </c>
      <c r="E171" s="116">
        <f>_xlfn.XLOOKUP(C171,'Allow&amp;Disa Exp by Truelayer cat'!$B:$B,'Allow&amp;Disa Exp by Truelayer cat'!$D:$D)</f>
        <v>0</v>
      </c>
      <c r="F171" t="str">
        <f>_xlfn.XLOOKUP(C171,'Allow&amp;Disa Exp by Truelayer cat'!$B:$B,'Allow&amp;Disa Exp by Truelayer cat'!$E:$E)</f>
        <v>Deduct from expenses</v>
      </c>
    </row>
    <row r="172" spans="1:6" x14ac:dyDescent="0.25">
      <c r="A172" t="s">
        <v>1079</v>
      </c>
      <c r="B172" t="s">
        <v>1120</v>
      </c>
      <c r="C172" t="s">
        <v>487</v>
      </c>
      <c r="D172" t="str">
        <f>_xlfn.XLOOKUP(C172,'Allow&amp;Disa Exp by Truelayer cat'!$B:$B,'Allow&amp;Disa Exp by Truelayer cat'!$C:$C)</f>
        <v>Allowable</v>
      </c>
      <c r="E172" s="116">
        <f>_xlfn.XLOOKUP(C172,'Allow&amp;Disa Exp by Truelayer cat'!$B:$B,'Allow&amp;Disa Exp by Truelayer cat'!$D:$D)</f>
        <v>0</v>
      </c>
      <c r="F172" t="str">
        <f>_xlfn.XLOOKUP(C172,'Allow&amp;Disa Exp by Truelayer cat'!$B:$B,'Allow&amp;Disa Exp by Truelayer cat'!$E:$E)</f>
        <v>Deduct from expenses</v>
      </c>
    </row>
    <row r="173" spans="1:6" x14ac:dyDescent="0.25">
      <c r="A173" t="s">
        <v>1079</v>
      </c>
      <c r="B173" t="s">
        <v>1121</v>
      </c>
      <c r="C173" t="s">
        <v>487</v>
      </c>
      <c r="D173" t="str">
        <f>_xlfn.XLOOKUP(C173,'Allow&amp;Disa Exp by Truelayer cat'!$B:$B,'Allow&amp;Disa Exp by Truelayer cat'!$C:$C)</f>
        <v>Allowable</v>
      </c>
      <c r="E173" s="116">
        <f>_xlfn.XLOOKUP(C173,'Allow&amp;Disa Exp by Truelayer cat'!$B:$B,'Allow&amp;Disa Exp by Truelayer cat'!$D:$D)</f>
        <v>0</v>
      </c>
      <c r="F173" t="str">
        <f>_xlfn.XLOOKUP(C173,'Allow&amp;Disa Exp by Truelayer cat'!$B:$B,'Allow&amp;Disa Exp by Truelayer cat'!$E:$E)</f>
        <v>Deduct from expenses</v>
      </c>
    </row>
    <row r="174" spans="1:6" x14ac:dyDescent="0.25">
      <c r="A174" t="s">
        <v>1079</v>
      </c>
      <c r="B174" t="s">
        <v>1122</v>
      </c>
      <c r="C174" t="s">
        <v>487</v>
      </c>
      <c r="D174" t="str">
        <f>_xlfn.XLOOKUP(C174,'Allow&amp;Disa Exp by Truelayer cat'!$B:$B,'Allow&amp;Disa Exp by Truelayer cat'!$C:$C)</f>
        <v>Allowable</v>
      </c>
      <c r="E174" s="116">
        <f>_xlfn.XLOOKUP(C174,'Allow&amp;Disa Exp by Truelayer cat'!$B:$B,'Allow&amp;Disa Exp by Truelayer cat'!$D:$D)</f>
        <v>0</v>
      </c>
      <c r="F174" t="str">
        <f>_xlfn.XLOOKUP(C174,'Allow&amp;Disa Exp by Truelayer cat'!$B:$B,'Allow&amp;Disa Exp by Truelayer cat'!$E:$E)</f>
        <v>Deduct from expenses</v>
      </c>
    </row>
    <row r="175" spans="1:6" x14ac:dyDescent="0.25">
      <c r="A175" t="s">
        <v>1079</v>
      </c>
      <c r="B175" t="s">
        <v>1123</v>
      </c>
      <c r="C175" t="s">
        <v>487</v>
      </c>
      <c r="D175" t="str">
        <f>_xlfn.XLOOKUP(C175,'Allow&amp;Disa Exp by Truelayer cat'!$B:$B,'Allow&amp;Disa Exp by Truelayer cat'!$C:$C)</f>
        <v>Allowable</v>
      </c>
      <c r="E175" s="116">
        <f>_xlfn.XLOOKUP(C175,'Allow&amp;Disa Exp by Truelayer cat'!$B:$B,'Allow&amp;Disa Exp by Truelayer cat'!$D:$D)</f>
        <v>0</v>
      </c>
      <c r="F175" t="str">
        <f>_xlfn.XLOOKUP(C175,'Allow&amp;Disa Exp by Truelayer cat'!$B:$B,'Allow&amp;Disa Exp by Truelayer cat'!$E:$E)</f>
        <v>Deduct from expenses</v>
      </c>
    </row>
    <row r="176" spans="1:6" x14ac:dyDescent="0.25">
      <c r="A176" t="s">
        <v>1079</v>
      </c>
      <c r="B176" t="s">
        <v>1124</v>
      </c>
      <c r="C176" t="s">
        <v>487</v>
      </c>
      <c r="D176" t="str">
        <f>_xlfn.XLOOKUP(C176,'Allow&amp;Disa Exp by Truelayer cat'!$B:$B,'Allow&amp;Disa Exp by Truelayer cat'!$C:$C)</f>
        <v>Allowable</v>
      </c>
      <c r="E176" s="116">
        <f>_xlfn.XLOOKUP(C176,'Allow&amp;Disa Exp by Truelayer cat'!$B:$B,'Allow&amp;Disa Exp by Truelayer cat'!$D:$D)</f>
        <v>0</v>
      </c>
      <c r="F176" t="str">
        <f>_xlfn.XLOOKUP(C176,'Allow&amp;Disa Exp by Truelayer cat'!$B:$B,'Allow&amp;Disa Exp by Truelayer cat'!$E:$E)</f>
        <v>Deduct from expenses</v>
      </c>
    </row>
    <row r="177" spans="1:6" x14ac:dyDescent="0.25">
      <c r="A177" t="s">
        <v>1079</v>
      </c>
      <c r="B177" t="s">
        <v>1125</v>
      </c>
      <c r="C177" t="s">
        <v>487</v>
      </c>
      <c r="D177" t="str">
        <f>_xlfn.XLOOKUP(C177,'Allow&amp;Disa Exp by Truelayer cat'!$B:$B,'Allow&amp;Disa Exp by Truelayer cat'!$C:$C)</f>
        <v>Allowable</v>
      </c>
      <c r="E177" s="116">
        <f>_xlfn.XLOOKUP(C177,'Allow&amp;Disa Exp by Truelayer cat'!$B:$B,'Allow&amp;Disa Exp by Truelayer cat'!$D:$D)</f>
        <v>0</v>
      </c>
      <c r="F177" t="str">
        <f>_xlfn.XLOOKUP(C177,'Allow&amp;Disa Exp by Truelayer cat'!$B:$B,'Allow&amp;Disa Exp by Truelayer cat'!$E:$E)</f>
        <v>Deduct from expenses</v>
      </c>
    </row>
    <row r="178" spans="1:6" x14ac:dyDescent="0.25">
      <c r="A178" t="s">
        <v>1079</v>
      </c>
      <c r="B178" t="s">
        <v>1126</v>
      </c>
      <c r="C178" t="s">
        <v>487</v>
      </c>
      <c r="D178" t="str">
        <f>_xlfn.XLOOKUP(C178,'Allow&amp;Disa Exp by Truelayer cat'!$B:$B,'Allow&amp;Disa Exp by Truelayer cat'!$C:$C)</f>
        <v>Allowable</v>
      </c>
      <c r="E178" s="116">
        <f>_xlfn.XLOOKUP(C178,'Allow&amp;Disa Exp by Truelayer cat'!$B:$B,'Allow&amp;Disa Exp by Truelayer cat'!$D:$D)</f>
        <v>0</v>
      </c>
      <c r="F178" t="str">
        <f>_xlfn.XLOOKUP(C178,'Allow&amp;Disa Exp by Truelayer cat'!$B:$B,'Allow&amp;Disa Exp by Truelayer cat'!$E:$E)</f>
        <v>Deduct from expenses</v>
      </c>
    </row>
    <row r="179" spans="1:6" x14ac:dyDescent="0.25">
      <c r="A179" t="s">
        <v>1079</v>
      </c>
      <c r="B179" t="s">
        <v>1127</v>
      </c>
      <c r="C179" t="s">
        <v>487</v>
      </c>
      <c r="D179" t="str">
        <f>_xlfn.XLOOKUP(C179,'Allow&amp;Disa Exp by Truelayer cat'!$B:$B,'Allow&amp;Disa Exp by Truelayer cat'!$C:$C)</f>
        <v>Allowable</v>
      </c>
      <c r="E179" s="116">
        <f>_xlfn.XLOOKUP(C179,'Allow&amp;Disa Exp by Truelayer cat'!$B:$B,'Allow&amp;Disa Exp by Truelayer cat'!$D:$D)</f>
        <v>0</v>
      </c>
      <c r="F179" t="str">
        <f>_xlfn.XLOOKUP(C179,'Allow&amp;Disa Exp by Truelayer cat'!$B:$B,'Allow&amp;Disa Exp by Truelayer cat'!$E:$E)</f>
        <v>Deduct from expenses</v>
      </c>
    </row>
    <row r="180" spans="1:6" x14ac:dyDescent="0.25">
      <c r="A180" t="s">
        <v>1079</v>
      </c>
      <c r="B180" t="s">
        <v>1128</v>
      </c>
      <c r="C180" t="s">
        <v>487</v>
      </c>
      <c r="D180" t="str">
        <f>_xlfn.XLOOKUP(C180,'Allow&amp;Disa Exp by Truelayer cat'!$B:$B,'Allow&amp;Disa Exp by Truelayer cat'!$C:$C)</f>
        <v>Allowable</v>
      </c>
      <c r="E180" s="116">
        <f>_xlfn.XLOOKUP(C180,'Allow&amp;Disa Exp by Truelayer cat'!$B:$B,'Allow&amp;Disa Exp by Truelayer cat'!$D:$D)</f>
        <v>0</v>
      </c>
      <c r="F180" t="str">
        <f>_xlfn.XLOOKUP(C180,'Allow&amp;Disa Exp by Truelayer cat'!$B:$B,'Allow&amp;Disa Exp by Truelayer cat'!$E:$E)</f>
        <v>Deduct from expenses</v>
      </c>
    </row>
    <row r="181" spans="1:6" x14ac:dyDescent="0.25">
      <c r="A181" t="s">
        <v>1079</v>
      </c>
      <c r="B181" t="s">
        <v>1129</v>
      </c>
      <c r="C181" t="s">
        <v>487</v>
      </c>
      <c r="D181" t="str">
        <f>_xlfn.XLOOKUP(C181,'Allow&amp;Disa Exp by Truelayer cat'!$B:$B,'Allow&amp;Disa Exp by Truelayer cat'!$C:$C)</f>
        <v>Allowable</v>
      </c>
      <c r="E181" s="116">
        <f>_xlfn.XLOOKUP(C181,'Allow&amp;Disa Exp by Truelayer cat'!$B:$B,'Allow&amp;Disa Exp by Truelayer cat'!$D:$D)</f>
        <v>0</v>
      </c>
      <c r="F181" t="str">
        <f>_xlfn.XLOOKUP(C181,'Allow&amp;Disa Exp by Truelayer cat'!$B:$B,'Allow&amp;Disa Exp by Truelayer cat'!$E:$E)</f>
        <v>Deduct from expenses</v>
      </c>
    </row>
    <row r="182" spans="1:6" x14ac:dyDescent="0.25">
      <c r="A182" t="s">
        <v>1079</v>
      </c>
      <c r="B182" t="s">
        <v>1130</v>
      </c>
      <c r="C182" t="s">
        <v>487</v>
      </c>
      <c r="D182" t="str">
        <f>_xlfn.XLOOKUP(C182,'Allow&amp;Disa Exp by Truelayer cat'!$B:$B,'Allow&amp;Disa Exp by Truelayer cat'!$C:$C)</f>
        <v>Allowable</v>
      </c>
      <c r="E182" s="116">
        <f>_xlfn.XLOOKUP(C182,'Allow&amp;Disa Exp by Truelayer cat'!$B:$B,'Allow&amp;Disa Exp by Truelayer cat'!$D:$D)</f>
        <v>0</v>
      </c>
      <c r="F182" t="str">
        <f>_xlfn.XLOOKUP(C182,'Allow&amp;Disa Exp by Truelayer cat'!$B:$B,'Allow&amp;Disa Exp by Truelayer cat'!$E:$E)</f>
        <v>Deduct from expenses</v>
      </c>
    </row>
    <row r="183" spans="1:6" x14ac:dyDescent="0.25">
      <c r="A183" t="s">
        <v>1079</v>
      </c>
      <c r="B183" t="s">
        <v>1131</v>
      </c>
      <c r="C183" t="s">
        <v>487</v>
      </c>
      <c r="D183" t="str">
        <f>_xlfn.XLOOKUP(C183,'Allow&amp;Disa Exp by Truelayer cat'!$B:$B,'Allow&amp;Disa Exp by Truelayer cat'!$C:$C)</f>
        <v>Allowable</v>
      </c>
      <c r="E183" s="116">
        <f>_xlfn.XLOOKUP(C183,'Allow&amp;Disa Exp by Truelayer cat'!$B:$B,'Allow&amp;Disa Exp by Truelayer cat'!$D:$D)</f>
        <v>0</v>
      </c>
      <c r="F183" t="str">
        <f>_xlfn.XLOOKUP(C183,'Allow&amp;Disa Exp by Truelayer cat'!$B:$B,'Allow&amp;Disa Exp by Truelayer cat'!$E:$E)</f>
        <v>Deduct from expenses</v>
      </c>
    </row>
    <row r="184" spans="1:6" x14ac:dyDescent="0.25">
      <c r="A184" t="s">
        <v>1079</v>
      </c>
      <c r="B184" t="s">
        <v>1132</v>
      </c>
      <c r="C184" t="s">
        <v>487</v>
      </c>
      <c r="D184" t="str">
        <f>_xlfn.XLOOKUP(C184,'Allow&amp;Disa Exp by Truelayer cat'!$B:$B,'Allow&amp;Disa Exp by Truelayer cat'!$C:$C)</f>
        <v>Allowable</v>
      </c>
      <c r="E184" s="116">
        <f>_xlfn.XLOOKUP(C184,'Allow&amp;Disa Exp by Truelayer cat'!$B:$B,'Allow&amp;Disa Exp by Truelayer cat'!$D:$D)</f>
        <v>0</v>
      </c>
      <c r="F184" t="str">
        <f>_xlfn.XLOOKUP(C184,'Allow&amp;Disa Exp by Truelayer cat'!$B:$B,'Allow&amp;Disa Exp by Truelayer cat'!$E:$E)</f>
        <v>Deduct from expenses</v>
      </c>
    </row>
    <row r="185" spans="1:6" x14ac:dyDescent="0.25">
      <c r="A185" t="s">
        <v>1079</v>
      </c>
      <c r="B185" t="s">
        <v>1133</v>
      </c>
      <c r="C185" t="s">
        <v>487</v>
      </c>
      <c r="D185" t="str">
        <f>_xlfn.XLOOKUP(C185,'Allow&amp;Disa Exp by Truelayer cat'!$B:$B,'Allow&amp;Disa Exp by Truelayer cat'!$C:$C)</f>
        <v>Allowable</v>
      </c>
      <c r="E185" s="116">
        <f>_xlfn.XLOOKUP(C185,'Allow&amp;Disa Exp by Truelayer cat'!$B:$B,'Allow&amp;Disa Exp by Truelayer cat'!$D:$D)</f>
        <v>0</v>
      </c>
      <c r="F185" t="str">
        <f>_xlfn.XLOOKUP(C185,'Allow&amp;Disa Exp by Truelayer cat'!$B:$B,'Allow&amp;Disa Exp by Truelayer cat'!$E:$E)</f>
        <v>Deduct from expenses</v>
      </c>
    </row>
    <row r="186" spans="1:6" x14ac:dyDescent="0.25">
      <c r="A186" t="s">
        <v>1079</v>
      </c>
      <c r="B186" t="s">
        <v>1134</v>
      </c>
      <c r="C186" t="s">
        <v>487</v>
      </c>
      <c r="D186" t="str">
        <f>_xlfn.XLOOKUP(C186,'Allow&amp;Disa Exp by Truelayer cat'!$B:$B,'Allow&amp;Disa Exp by Truelayer cat'!$C:$C)</f>
        <v>Allowable</v>
      </c>
      <c r="E186" s="116">
        <f>_xlfn.XLOOKUP(C186,'Allow&amp;Disa Exp by Truelayer cat'!$B:$B,'Allow&amp;Disa Exp by Truelayer cat'!$D:$D)</f>
        <v>0</v>
      </c>
      <c r="F186" t="str">
        <f>_xlfn.XLOOKUP(C186,'Allow&amp;Disa Exp by Truelayer cat'!$B:$B,'Allow&amp;Disa Exp by Truelayer cat'!$E:$E)</f>
        <v>Deduct from expenses</v>
      </c>
    </row>
    <row r="187" spans="1:6" x14ac:dyDescent="0.25">
      <c r="A187" t="s">
        <v>1079</v>
      </c>
      <c r="B187" t="s">
        <v>1135</v>
      </c>
      <c r="C187" t="s">
        <v>487</v>
      </c>
      <c r="D187" t="str">
        <f>_xlfn.XLOOKUP(C187,'Allow&amp;Disa Exp by Truelayer cat'!$B:$B,'Allow&amp;Disa Exp by Truelayer cat'!$C:$C)</f>
        <v>Allowable</v>
      </c>
      <c r="E187" s="116">
        <f>_xlfn.XLOOKUP(C187,'Allow&amp;Disa Exp by Truelayer cat'!$B:$B,'Allow&amp;Disa Exp by Truelayer cat'!$D:$D)</f>
        <v>0</v>
      </c>
      <c r="F187" t="str">
        <f>_xlfn.XLOOKUP(C187,'Allow&amp;Disa Exp by Truelayer cat'!$B:$B,'Allow&amp;Disa Exp by Truelayer cat'!$E:$E)</f>
        <v>Deduct from expenses</v>
      </c>
    </row>
    <row r="188" spans="1:6" x14ac:dyDescent="0.25">
      <c r="A188" t="s">
        <v>1079</v>
      </c>
      <c r="B188" t="s">
        <v>1136</v>
      </c>
      <c r="C188" t="s">
        <v>487</v>
      </c>
      <c r="D188" t="str">
        <f>_xlfn.XLOOKUP(C188,'Allow&amp;Disa Exp by Truelayer cat'!$B:$B,'Allow&amp;Disa Exp by Truelayer cat'!$C:$C)</f>
        <v>Allowable</v>
      </c>
      <c r="E188" s="116">
        <f>_xlfn.XLOOKUP(C188,'Allow&amp;Disa Exp by Truelayer cat'!$B:$B,'Allow&amp;Disa Exp by Truelayer cat'!$D:$D)</f>
        <v>0</v>
      </c>
      <c r="F188" t="str">
        <f>_xlfn.XLOOKUP(C188,'Allow&amp;Disa Exp by Truelayer cat'!$B:$B,'Allow&amp;Disa Exp by Truelayer cat'!$E:$E)</f>
        <v>Deduct from expenses</v>
      </c>
    </row>
    <row r="189" spans="1:6" x14ac:dyDescent="0.25">
      <c r="A189" t="s">
        <v>1079</v>
      </c>
      <c r="B189" t="s">
        <v>1137</v>
      </c>
      <c r="C189" t="s">
        <v>487</v>
      </c>
      <c r="D189" t="str">
        <f>_xlfn.XLOOKUP(C189,'Allow&amp;Disa Exp by Truelayer cat'!$B:$B,'Allow&amp;Disa Exp by Truelayer cat'!$C:$C)</f>
        <v>Allowable</v>
      </c>
      <c r="E189" s="116">
        <f>_xlfn.XLOOKUP(C189,'Allow&amp;Disa Exp by Truelayer cat'!$B:$B,'Allow&amp;Disa Exp by Truelayer cat'!$D:$D)</f>
        <v>0</v>
      </c>
      <c r="F189" t="str">
        <f>_xlfn.XLOOKUP(C189,'Allow&amp;Disa Exp by Truelayer cat'!$B:$B,'Allow&amp;Disa Exp by Truelayer cat'!$E:$E)</f>
        <v>Deduct from expenses</v>
      </c>
    </row>
    <row r="190" spans="1:6" x14ac:dyDescent="0.25">
      <c r="A190" t="s">
        <v>1079</v>
      </c>
      <c r="B190" t="s">
        <v>1138</v>
      </c>
      <c r="C190" t="s">
        <v>487</v>
      </c>
      <c r="D190" t="str">
        <f>_xlfn.XLOOKUP(C190,'Allow&amp;Disa Exp by Truelayer cat'!$B:$B,'Allow&amp;Disa Exp by Truelayer cat'!$C:$C)</f>
        <v>Allowable</v>
      </c>
      <c r="E190" s="116">
        <f>_xlfn.XLOOKUP(C190,'Allow&amp;Disa Exp by Truelayer cat'!$B:$B,'Allow&amp;Disa Exp by Truelayer cat'!$D:$D)</f>
        <v>0</v>
      </c>
      <c r="F190" t="str">
        <f>_xlfn.XLOOKUP(C190,'Allow&amp;Disa Exp by Truelayer cat'!$B:$B,'Allow&amp;Disa Exp by Truelayer cat'!$E:$E)</f>
        <v>Deduct from expenses</v>
      </c>
    </row>
    <row r="191" spans="1:6" x14ac:dyDescent="0.25">
      <c r="A191" t="s">
        <v>1079</v>
      </c>
      <c r="B191" t="s">
        <v>1139</v>
      </c>
      <c r="C191" t="s">
        <v>487</v>
      </c>
      <c r="D191" t="str">
        <f>_xlfn.XLOOKUP(C191,'Allow&amp;Disa Exp by Truelayer cat'!$B:$B,'Allow&amp;Disa Exp by Truelayer cat'!$C:$C)</f>
        <v>Allowable</v>
      </c>
      <c r="E191" s="116">
        <f>_xlfn.XLOOKUP(C191,'Allow&amp;Disa Exp by Truelayer cat'!$B:$B,'Allow&amp;Disa Exp by Truelayer cat'!$D:$D)</f>
        <v>0</v>
      </c>
      <c r="F191" t="str">
        <f>_xlfn.XLOOKUP(C191,'Allow&amp;Disa Exp by Truelayer cat'!$B:$B,'Allow&amp;Disa Exp by Truelayer cat'!$E:$E)</f>
        <v>Deduct from expenses</v>
      </c>
    </row>
    <row r="192" spans="1:6" x14ac:dyDescent="0.25">
      <c r="A192" t="s">
        <v>1079</v>
      </c>
      <c r="B192" t="s">
        <v>1140</v>
      </c>
      <c r="C192" t="s">
        <v>487</v>
      </c>
      <c r="D192" t="str">
        <f>_xlfn.XLOOKUP(C192,'Allow&amp;Disa Exp by Truelayer cat'!$B:$B,'Allow&amp;Disa Exp by Truelayer cat'!$C:$C)</f>
        <v>Allowable</v>
      </c>
      <c r="E192" s="116">
        <f>_xlfn.XLOOKUP(C192,'Allow&amp;Disa Exp by Truelayer cat'!$B:$B,'Allow&amp;Disa Exp by Truelayer cat'!$D:$D)</f>
        <v>0</v>
      </c>
      <c r="F192" t="str">
        <f>_xlfn.XLOOKUP(C192,'Allow&amp;Disa Exp by Truelayer cat'!$B:$B,'Allow&amp;Disa Exp by Truelayer cat'!$E:$E)</f>
        <v>Deduct from expenses</v>
      </c>
    </row>
    <row r="193" spans="1:6" x14ac:dyDescent="0.25">
      <c r="A193" t="s">
        <v>1079</v>
      </c>
      <c r="B193" t="s">
        <v>1141</v>
      </c>
      <c r="C193" t="s">
        <v>487</v>
      </c>
      <c r="D193" t="str">
        <f>_xlfn.XLOOKUP(C193,'Allow&amp;Disa Exp by Truelayer cat'!$B:$B,'Allow&amp;Disa Exp by Truelayer cat'!$C:$C)</f>
        <v>Allowable</v>
      </c>
      <c r="E193" s="116">
        <f>_xlfn.XLOOKUP(C193,'Allow&amp;Disa Exp by Truelayer cat'!$B:$B,'Allow&amp;Disa Exp by Truelayer cat'!$D:$D)</f>
        <v>0</v>
      </c>
      <c r="F193" t="str">
        <f>_xlfn.XLOOKUP(C193,'Allow&amp;Disa Exp by Truelayer cat'!$B:$B,'Allow&amp;Disa Exp by Truelayer cat'!$E:$E)</f>
        <v>Deduct from expenses</v>
      </c>
    </row>
    <row r="194" spans="1:6" x14ac:dyDescent="0.25">
      <c r="A194" t="s">
        <v>1079</v>
      </c>
      <c r="B194" t="s">
        <v>1142</v>
      </c>
      <c r="C194" t="s">
        <v>487</v>
      </c>
      <c r="D194" t="str">
        <f>_xlfn.XLOOKUP(C194,'Allow&amp;Disa Exp by Truelayer cat'!$B:$B,'Allow&amp;Disa Exp by Truelayer cat'!$C:$C)</f>
        <v>Allowable</v>
      </c>
      <c r="E194" s="116">
        <f>_xlfn.XLOOKUP(C194,'Allow&amp;Disa Exp by Truelayer cat'!$B:$B,'Allow&amp;Disa Exp by Truelayer cat'!$D:$D)</f>
        <v>0</v>
      </c>
      <c r="F194" t="str">
        <f>_xlfn.XLOOKUP(C194,'Allow&amp;Disa Exp by Truelayer cat'!$B:$B,'Allow&amp;Disa Exp by Truelayer cat'!$E:$E)</f>
        <v>Deduct from expenses</v>
      </c>
    </row>
    <row r="195" spans="1:6" x14ac:dyDescent="0.25">
      <c r="A195" t="s">
        <v>1079</v>
      </c>
      <c r="B195" t="s">
        <v>1143</v>
      </c>
      <c r="C195" t="s">
        <v>487</v>
      </c>
      <c r="D195" t="str">
        <f>_xlfn.XLOOKUP(C195,'Allow&amp;Disa Exp by Truelayer cat'!$B:$B,'Allow&amp;Disa Exp by Truelayer cat'!$C:$C)</f>
        <v>Allowable</v>
      </c>
      <c r="E195" s="116">
        <f>_xlfn.XLOOKUP(C195,'Allow&amp;Disa Exp by Truelayer cat'!$B:$B,'Allow&amp;Disa Exp by Truelayer cat'!$D:$D)</f>
        <v>0</v>
      </c>
      <c r="F195" t="str">
        <f>_xlfn.XLOOKUP(C195,'Allow&amp;Disa Exp by Truelayer cat'!$B:$B,'Allow&amp;Disa Exp by Truelayer cat'!$E:$E)</f>
        <v>Deduct from expenses</v>
      </c>
    </row>
    <row r="196" spans="1:6" x14ac:dyDescent="0.25">
      <c r="A196" t="s">
        <v>1079</v>
      </c>
      <c r="B196" t="s">
        <v>1144</v>
      </c>
      <c r="C196" t="s">
        <v>487</v>
      </c>
      <c r="D196" t="str">
        <f>_xlfn.XLOOKUP(C196,'Allow&amp;Disa Exp by Truelayer cat'!$B:$B,'Allow&amp;Disa Exp by Truelayer cat'!$C:$C)</f>
        <v>Allowable</v>
      </c>
      <c r="E196" s="116">
        <f>_xlfn.XLOOKUP(C196,'Allow&amp;Disa Exp by Truelayer cat'!$B:$B,'Allow&amp;Disa Exp by Truelayer cat'!$D:$D)</f>
        <v>0</v>
      </c>
      <c r="F196" t="str">
        <f>_xlfn.XLOOKUP(C196,'Allow&amp;Disa Exp by Truelayer cat'!$B:$B,'Allow&amp;Disa Exp by Truelayer cat'!$E:$E)</f>
        <v>Deduct from expenses</v>
      </c>
    </row>
    <row r="197" spans="1:6" x14ac:dyDescent="0.25">
      <c r="A197" t="s">
        <v>1079</v>
      </c>
      <c r="B197" t="s">
        <v>1145</v>
      </c>
      <c r="C197" t="s">
        <v>487</v>
      </c>
      <c r="D197" t="str">
        <f>_xlfn.XLOOKUP(C197,'Allow&amp;Disa Exp by Truelayer cat'!$B:$B,'Allow&amp;Disa Exp by Truelayer cat'!$C:$C)</f>
        <v>Allowable</v>
      </c>
      <c r="E197" s="116">
        <f>_xlfn.XLOOKUP(C197,'Allow&amp;Disa Exp by Truelayer cat'!$B:$B,'Allow&amp;Disa Exp by Truelayer cat'!$D:$D)</f>
        <v>0</v>
      </c>
      <c r="F197" t="str">
        <f>_xlfn.XLOOKUP(C197,'Allow&amp;Disa Exp by Truelayer cat'!$B:$B,'Allow&amp;Disa Exp by Truelayer cat'!$E:$E)</f>
        <v>Deduct from expenses</v>
      </c>
    </row>
    <row r="198" spans="1:6" x14ac:dyDescent="0.25">
      <c r="A198" t="s">
        <v>1079</v>
      </c>
      <c r="B198" t="s">
        <v>186</v>
      </c>
      <c r="C198" t="s">
        <v>487</v>
      </c>
      <c r="D198" t="str">
        <f>_xlfn.XLOOKUP(C198,'Allow&amp;Disa Exp by Truelayer cat'!$B:$B,'Allow&amp;Disa Exp by Truelayer cat'!$C:$C)</f>
        <v>Allowable</v>
      </c>
      <c r="E198" s="116">
        <f>_xlfn.XLOOKUP(C198,'Allow&amp;Disa Exp by Truelayer cat'!$B:$B,'Allow&amp;Disa Exp by Truelayer cat'!$D:$D)</f>
        <v>0</v>
      </c>
      <c r="F198" t="str">
        <f>_xlfn.XLOOKUP(C198,'Allow&amp;Disa Exp by Truelayer cat'!$B:$B,'Allow&amp;Disa Exp by Truelayer cat'!$E:$E)</f>
        <v>Deduct from expenses</v>
      </c>
    </row>
    <row r="199" spans="1:6" x14ac:dyDescent="0.25">
      <c r="A199" t="s">
        <v>1079</v>
      </c>
      <c r="B199" t="s">
        <v>1146</v>
      </c>
      <c r="C199" t="s">
        <v>487</v>
      </c>
      <c r="D199" t="str">
        <f>_xlfn.XLOOKUP(C199,'Allow&amp;Disa Exp by Truelayer cat'!$B:$B,'Allow&amp;Disa Exp by Truelayer cat'!$C:$C)</f>
        <v>Allowable</v>
      </c>
      <c r="E199" s="116">
        <f>_xlfn.XLOOKUP(C199,'Allow&amp;Disa Exp by Truelayer cat'!$B:$B,'Allow&amp;Disa Exp by Truelayer cat'!$D:$D)</f>
        <v>0</v>
      </c>
      <c r="F199" t="str">
        <f>_xlfn.XLOOKUP(C199,'Allow&amp;Disa Exp by Truelayer cat'!$B:$B,'Allow&amp;Disa Exp by Truelayer cat'!$E:$E)</f>
        <v>Deduct from expenses</v>
      </c>
    </row>
    <row r="200" spans="1:6" x14ac:dyDescent="0.25">
      <c r="A200" t="s">
        <v>1079</v>
      </c>
      <c r="B200" t="s">
        <v>1147</v>
      </c>
      <c r="C200" t="s">
        <v>487</v>
      </c>
      <c r="D200" t="str">
        <f>_xlfn.XLOOKUP(C200,'Allow&amp;Disa Exp by Truelayer cat'!$B:$B,'Allow&amp;Disa Exp by Truelayer cat'!$C:$C)</f>
        <v>Allowable</v>
      </c>
      <c r="E200" s="116">
        <f>_xlfn.XLOOKUP(C200,'Allow&amp;Disa Exp by Truelayer cat'!$B:$B,'Allow&amp;Disa Exp by Truelayer cat'!$D:$D)</f>
        <v>0</v>
      </c>
      <c r="F200" t="str">
        <f>_xlfn.XLOOKUP(C200,'Allow&amp;Disa Exp by Truelayer cat'!$B:$B,'Allow&amp;Disa Exp by Truelayer cat'!$E:$E)</f>
        <v>Deduct from expenses</v>
      </c>
    </row>
    <row r="201" spans="1:6" x14ac:dyDescent="0.25">
      <c r="A201" t="s">
        <v>1079</v>
      </c>
      <c r="B201" t="s">
        <v>1148</v>
      </c>
      <c r="C201" t="s">
        <v>487</v>
      </c>
      <c r="D201" t="str">
        <f>_xlfn.XLOOKUP(C201,'Allow&amp;Disa Exp by Truelayer cat'!$B:$B,'Allow&amp;Disa Exp by Truelayer cat'!$C:$C)</f>
        <v>Allowable</v>
      </c>
      <c r="E201" s="116">
        <f>_xlfn.XLOOKUP(C201,'Allow&amp;Disa Exp by Truelayer cat'!$B:$B,'Allow&amp;Disa Exp by Truelayer cat'!$D:$D)</f>
        <v>0</v>
      </c>
      <c r="F201" t="str">
        <f>_xlfn.XLOOKUP(C201,'Allow&amp;Disa Exp by Truelayer cat'!$B:$B,'Allow&amp;Disa Exp by Truelayer cat'!$E:$E)</f>
        <v>Deduct from expenses</v>
      </c>
    </row>
    <row r="202" spans="1:6" x14ac:dyDescent="0.25">
      <c r="A202" t="s">
        <v>1079</v>
      </c>
      <c r="B202" t="s">
        <v>1149</v>
      </c>
      <c r="C202" t="s">
        <v>487</v>
      </c>
      <c r="D202" t="str">
        <f>_xlfn.XLOOKUP(C202,'Allow&amp;Disa Exp by Truelayer cat'!$B:$B,'Allow&amp;Disa Exp by Truelayer cat'!$C:$C)</f>
        <v>Allowable</v>
      </c>
      <c r="E202" s="116">
        <f>_xlfn.XLOOKUP(C202,'Allow&amp;Disa Exp by Truelayer cat'!$B:$B,'Allow&amp;Disa Exp by Truelayer cat'!$D:$D)</f>
        <v>0</v>
      </c>
      <c r="F202" t="str">
        <f>_xlfn.XLOOKUP(C202,'Allow&amp;Disa Exp by Truelayer cat'!$B:$B,'Allow&amp;Disa Exp by Truelayer cat'!$E:$E)</f>
        <v>Deduct from expenses</v>
      </c>
    </row>
    <row r="203" spans="1:6" x14ac:dyDescent="0.25">
      <c r="A203" t="s">
        <v>1079</v>
      </c>
      <c r="B203" t="s">
        <v>1150</v>
      </c>
      <c r="C203" t="s">
        <v>487</v>
      </c>
      <c r="D203" t="str">
        <f>_xlfn.XLOOKUP(C203,'Allow&amp;Disa Exp by Truelayer cat'!$B:$B,'Allow&amp;Disa Exp by Truelayer cat'!$C:$C)</f>
        <v>Allowable</v>
      </c>
      <c r="E203" s="116">
        <f>_xlfn.XLOOKUP(C203,'Allow&amp;Disa Exp by Truelayer cat'!$B:$B,'Allow&amp;Disa Exp by Truelayer cat'!$D:$D)</f>
        <v>0</v>
      </c>
      <c r="F203" t="str">
        <f>_xlfn.XLOOKUP(C203,'Allow&amp;Disa Exp by Truelayer cat'!$B:$B,'Allow&amp;Disa Exp by Truelayer cat'!$E:$E)</f>
        <v>Deduct from expenses</v>
      </c>
    </row>
    <row r="204" spans="1:6" x14ac:dyDescent="0.25">
      <c r="A204" t="s">
        <v>1079</v>
      </c>
      <c r="B204" t="s">
        <v>1151</v>
      </c>
      <c r="C204" t="s">
        <v>487</v>
      </c>
      <c r="D204" t="str">
        <f>_xlfn.XLOOKUP(C204,'Allow&amp;Disa Exp by Truelayer cat'!$B:$B,'Allow&amp;Disa Exp by Truelayer cat'!$C:$C)</f>
        <v>Allowable</v>
      </c>
      <c r="E204" s="116">
        <f>_xlfn.XLOOKUP(C204,'Allow&amp;Disa Exp by Truelayer cat'!$B:$B,'Allow&amp;Disa Exp by Truelayer cat'!$D:$D)</f>
        <v>0</v>
      </c>
      <c r="F204" t="str">
        <f>_xlfn.XLOOKUP(C204,'Allow&amp;Disa Exp by Truelayer cat'!$B:$B,'Allow&amp;Disa Exp by Truelayer cat'!$E:$E)</f>
        <v>Deduct from expenses</v>
      </c>
    </row>
    <row r="205" spans="1:6" x14ac:dyDescent="0.25">
      <c r="A205" t="s">
        <v>1079</v>
      </c>
      <c r="B205" t="s">
        <v>1152</v>
      </c>
      <c r="C205" t="s">
        <v>487</v>
      </c>
      <c r="D205" t="str">
        <f>_xlfn.XLOOKUP(C205,'Allow&amp;Disa Exp by Truelayer cat'!$B:$B,'Allow&amp;Disa Exp by Truelayer cat'!$C:$C)</f>
        <v>Allowable</v>
      </c>
      <c r="E205" s="116">
        <f>_xlfn.XLOOKUP(C205,'Allow&amp;Disa Exp by Truelayer cat'!$B:$B,'Allow&amp;Disa Exp by Truelayer cat'!$D:$D)</f>
        <v>0</v>
      </c>
      <c r="F205" t="str">
        <f>_xlfn.XLOOKUP(C205,'Allow&amp;Disa Exp by Truelayer cat'!$B:$B,'Allow&amp;Disa Exp by Truelayer cat'!$E:$E)</f>
        <v>Deduct from expenses</v>
      </c>
    </row>
    <row r="206" spans="1:6" x14ac:dyDescent="0.25">
      <c r="A206" t="s">
        <v>1079</v>
      </c>
      <c r="B206" t="s">
        <v>1153</v>
      </c>
      <c r="C206" t="s">
        <v>487</v>
      </c>
      <c r="D206" t="str">
        <f>_xlfn.XLOOKUP(C206,'Allow&amp;Disa Exp by Truelayer cat'!$B:$B,'Allow&amp;Disa Exp by Truelayer cat'!$C:$C)</f>
        <v>Allowable</v>
      </c>
      <c r="E206" s="116">
        <f>_xlfn.XLOOKUP(C206,'Allow&amp;Disa Exp by Truelayer cat'!$B:$B,'Allow&amp;Disa Exp by Truelayer cat'!$D:$D)</f>
        <v>0</v>
      </c>
      <c r="F206" t="str">
        <f>_xlfn.XLOOKUP(C206,'Allow&amp;Disa Exp by Truelayer cat'!$B:$B,'Allow&amp;Disa Exp by Truelayer cat'!$E:$E)</f>
        <v>Deduct from expenses</v>
      </c>
    </row>
    <row r="207" spans="1:6" x14ac:dyDescent="0.25">
      <c r="A207" t="s">
        <v>1079</v>
      </c>
      <c r="B207" t="s">
        <v>1154</v>
      </c>
      <c r="C207" t="s">
        <v>487</v>
      </c>
      <c r="D207" t="str">
        <f>_xlfn.XLOOKUP(C207,'Allow&amp;Disa Exp by Truelayer cat'!$B:$B,'Allow&amp;Disa Exp by Truelayer cat'!$C:$C)</f>
        <v>Allowable</v>
      </c>
      <c r="E207" s="116">
        <f>_xlfn.XLOOKUP(C207,'Allow&amp;Disa Exp by Truelayer cat'!$B:$B,'Allow&amp;Disa Exp by Truelayer cat'!$D:$D)</f>
        <v>0</v>
      </c>
      <c r="F207" t="str">
        <f>_xlfn.XLOOKUP(C207,'Allow&amp;Disa Exp by Truelayer cat'!$B:$B,'Allow&amp;Disa Exp by Truelayer cat'!$E:$E)</f>
        <v>Deduct from expenses</v>
      </c>
    </row>
    <row r="208" spans="1:6" x14ac:dyDescent="0.25">
      <c r="A208" t="s">
        <v>1079</v>
      </c>
      <c r="B208" t="s">
        <v>1155</v>
      </c>
      <c r="C208" t="s">
        <v>487</v>
      </c>
      <c r="D208" t="str">
        <f>_xlfn.XLOOKUP(C208,'Allow&amp;Disa Exp by Truelayer cat'!$B:$B,'Allow&amp;Disa Exp by Truelayer cat'!$C:$C)</f>
        <v>Allowable</v>
      </c>
      <c r="E208" s="116">
        <f>_xlfn.XLOOKUP(C208,'Allow&amp;Disa Exp by Truelayer cat'!$B:$B,'Allow&amp;Disa Exp by Truelayer cat'!$D:$D)</f>
        <v>0</v>
      </c>
      <c r="F208" t="str">
        <f>_xlfn.XLOOKUP(C208,'Allow&amp;Disa Exp by Truelayer cat'!$B:$B,'Allow&amp;Disa Exp by Truelayer cat'!$E:$E)</f>
        <v>Deduct from expenses</v>
      </c>
    </row>
    <row r="209" spans="1:6" x14ac:dyDescent="0.25">
      <c r="A209" t="s">
        <v>1079</v>
      </c>
      <c r="B209" t="s">
        <v>1156</v>
      </c>
      <c r="C209" t="s">
        <v>487</v>
      </c>
      <c r="D209" t="str">
        <f>_xlfn.XLOOKUP(C209,'Allow&amp;Disa Exp by Truelayer cat'!$B:$B,'Allow&amp;Disa Exp by Truelayer cat'!$C:$C)</f>
        <v>Allowable</v>
      </c>
      <c r="E209" s="116">
        <f>_xlfn.XLOOKUP(C209,'Allow&amp;Disa Exp by Truelayer cat'!$B:$B,'Allow&amp;Disa Exp by Truelayer cat'!$D:$D)</f>
        <v>0</v>
      </c>
      <c r="F209" t="str">
        <f>_xlfn.XLOOKUP(C209,'Allow&amp;Disa Exp by Truelayer cat'!$B:$B,'Allow&amp;Disa Exp by Truelayer cat'!$E:$E)</f>
        <v>Deduct from expenses</v>
      </c>
    </row>
    <row r="210" spans="1:6" x14ac:dyDescent="0.25">
      <c r="A210" t="s">
        <v>1079</v>
      </c>
      <c r="B210" t="s">
        <v>1157</v>
      </c>
      <c r="C210" t="s">
        <v>487</v>
      </c>
      <c r="D210" t="str">
        <f>_xlfn.XLOOKUP(C210,'Allow&amp;Disa Exp by Truelayer cat'!$B:$B,'Allow&amp;Disa Exp by Truelayer cat'!$C:$C)</f>
        <v>Allowable</v>
      </c>
      <c r="E210" s="116">
        <f>_xlfn.XLOOKUP(C210,'Allow&amp;Disa Exp by Truelayer cat'!$B:$B,'Allow&amp;Disa Exp by Truelayer cat'!$D:$D)</f>
        <v>0</v>
      </c>
      <c r="F210" t="str">
        <f>_xlfn.XLOOKUP(C210,'Allow&amp;Disa Exp by Truelayer cat'!$B:$B,'Allow&amp;Disa Exp by Truelayer cat'!$E:$E)</f>
        <v>Deduct from expenses</v>
      </c>
    </row>
    <row r="211" spans="1:6" x14ac:dyDescent="0.25">
      <c r="A211" t="s">
        <v>1079</v>
      </c>
      <c r="B211" t="s">
        <v>1158</v>
      </c>
      <c r="C211" t="s">
        <v>487</v>
      </c>
      <c r="D211" t="str">
        <f>_xlfn.XLOOKUP(C211,'Allow&amp;Disa Exp by Truelayer cat'!$B:$B,'Allow&amp;Disa Exp by Truelayer cat'!$C:$C)</f>
        <v>Allowable</v>
      </c>
      <c r="E211" s="116">
        <f>_xlfn.XLOOKUP(C211,'Allow&amp;Disa Exp by Truelayer cat'!$B:$B,'Allow&amp;Disa Exp by Truelayer cat'!$D:$D)</f>
        <v>0</v>
      </c>
      <c r="F211" t="str">
        <f>_xlfn.XLOOKUP(C211,'Allow&amp;Disa Exp by Truelayer cat'!$B:$B,'Allow&amp;Disa Exp by Truelayer cat'!$E:$E)</f>
        <v>Deduct from expenses</v>
      </c>
    </row>
    <row r="212" spans="1:6" x14ac:dyDescent="0.25">
      <c r="A212" t="s">
        <v>1079</v>
      </c>
      <c r="B212" t="s">
        <v>1159</v>
      </c>
      <c r="C212" t="s">
        <v>487</v>
      </c>
      <c r="D212" t="str">
        <f>_xlfn.XLOOKUP(C212,'Allow&amp;Disa Exp by Truelayer cat'!$B:$B,'Allow&amp;Disa Exp by Truelayer cat'!$C:$C)</f>
        <v>Allowable</v>
      </c>
      <c r="E212" s="116">
        <f>_xlfn.XLOOKUP(C212,'Allow&amp;Disa Exp by Truelayer cat'!$B:$B,'Allow&amp;Disa Exp by Truelayer cat'!$D:$D)</f>
        <v>0</v>
      </c>
      <c r="F212" t="str">
        <f>_xlfn.XLOOKUP(C212,'Allow&amp;Disa Exp by Truelayer cat'!$B:$B,'Allow&amp;Disa Exp by Truelayer cat'!$E:$E)</f>
        <v>Deduct from expenses</v>
      </c>
    </row>
    <row r="213" spans="1:6" x14ac:dyDescent="0.25">
      <c r="A213" t="s">
        <v>1079</v>
      </c>
      <c r="B213" t="s">
        <v>1160</v>
      </c>
      <c r="C213" t="s">
        <v>487</v>
      </c>
      <c r="D213" t="str">
        <f>_xlfn.XLOOKUP(C213,'Allow&amp;Disa Exp by Truelayer cat'!$B:$B,'Allow&amp;Disa Exp by Truelayer cat'!$C:$C)</f>
        <v>Allowable</v>
      </c>
      <c r="E213" s="116">
        <f>_xlfn.XLOOKUP(C213,'Allow&amp;Disa Exp by Truelayer cat'!$B:$B,'Allow&amp;Disa Exp by Truelayer cat'!$D:$D)</f>
        <v>0</v>
      </c>
      <c r="F213" t="str">
        <f>_xlfn.XLOOKUP(C213,'Allow&amp;Disa Exp by Truelayer cat'!$B:$B,'Allow&amp;Disa Exp by Truelayer cat'!$E:$E)</f>
        <v>Deduct from expenses</v>
      </c>
    </row>
    <row r="214" spans="1:6" x14ac:dyDescent="0.25">
      <c r="A214" t="s">
        <v>1079</v>
      </c>
      <c r="B214" t="s">
        <v>1161</v>
      </c>
      <c r="C214" t="s">
        <v>487</v>
      </c>
      <c r="D214" t="str">
        <f>_xlfn.XLOOKUP(C214,'Allow&amp;Disa Exp by Truelayer cat'!$B:$B,'Allow&amp;Disa Exp by Truelayer cat'!$C:$C)</f>
        <v>Allowable</v>
      </c>
      <c r="E214" s="116">
        <f>_xlfn.XLOOKUP(C214,'Allow&amp;Disa Exp by Truelayer cat'!$B:$B,'Allow&amp;Disa Exp by Truelayer cat'!$D:$D)</f>
        <v>0</v>
      </c>
      <c r="F214" t="str">
        <f>_xlfn.XLOOKUP(C214,'Allow&amp;Disa Exp by Truelayer cat'!$B:$B,'Allow&amp;Disa Exp by Truelayer cat'!$E:$E)</f>
        <v>Deduct from expenses</v>
      </c>
    </row>
    <row r="215" spans="1:6" x14ac:dyDescent="0.25">
      <c r="A215" t="s">
        <v>1079</v>
      </c>
      <c r="B215" t="s">
        <v>1162</v>
      </c>
      <c r="C215" t="s">
        <v>487</v>
      </c>
      <c r="D215" t="str">
        <f>_xlfn.XLOOKUP(C215,'Allow&amp;Disa Exp by Truelayer cat'!$B:$B,'Allow&amp;Disa Exp by Truelayer cat'!$C:$C)</f>
        <v>Allowable</v>
      </c>
      <c r="E215" s="116">
        <f>_xlfn.XLOOKUP(C215,'Allow&amp;Disa Exp by Truelayer cat'!$B:$B,'Allow&amp;Disa Exp by Truelayer cat'!$D:$D)</f>
        <v>0</v>
      </c>
      <c r="F215" t="str">
        <f>_xlfn.XLOOKUP(C215,'Allow&amp;Disa Exp by Truelayer cat'!$B:$B,'Allow&amp;Disa Exp by Truelayer cat'!$E:$E)</f>
        <v>Deduct from expenses</v>
      </c>
    </row>
    <row r="216" spans="1:6" x14ac:dyDescent="0.25">
      <c r="A216" t="s">
        <v>1079</v>
      </c>
      <c r="B216" t="s">
        <v>1163</v>
      </c>
      <c r="C216" t="s">
        <v>487</v>
      </c>
      <c r="D216" t="str">
        <f>_xlfn.XLOOKUP(C216,'Allow&amp;Disa Exp by Truelayer cat'!$B:$B,'Allow&amp;Disa Exp by Truelayer cat'!$C:$C)</f>
        <v>Allowable</v>
      </c>
      <c r="E216" s="116">
        <f>_xlfn.XLOOKUP(C216,'Allow&amp;Disa Exp by Truelayer cat'!$B:$B,'Allow&amp;Disa Exp by Truelayer cat'!$D:$D)</f>
        <v>0</v>
      </c>
      <c r="F216" t="str">
        <f>_xlfn.XLOOKUP(C216,'Allow&amp;Disa Exp by Truelayer cat'!$B:$B,'Allow&amp;Disa Exp by Truelayer cat'!$E:$E)</f>
        <v>Deduct from expenses</v>
      </c>
    </row>
    <row r="217" spans="1:6" x14ac:dyDescent="0.25">
      <c r="A217" t="s">
        <v>1079</v>
      </c>
      <c r="B217" t="s">
        <v>1164</v>
      </c>
      <c r="C217" t="s">
        <v>487</v>
      </c>
      <c r="D217" t="str">
        <f>_xlfn.XLOOKUP(C217,'Allow&amp;Disa Exp by Truelayer cat'!$B:$B,'Allow&amp;Disa Exp by Truelayer cat'!$C:$C)</f>
        <v>Allowable</v>
      </c>
      <c r="E217" s="116">
        <f>_xlfn.XLOOKUP(C217,'Allow&amp;Disa Exp by Truelayer cat'!$B:$B,'Allow&amp;Disa Exp by Truelayer cat'!$D:$D)</f>
        <v>0</v>
      </c>
      <c r="F217" t="str">
        <f>_xlfn.XLOOKUP(C217,'Allow&amp;Disa Exp by Truelayer cat'!$B:$B,'Allow&amp;Disa Exp by Truelayer cat'!$E:$E)</f>
        <v>Deduct from expenses</v>
      </c>
    </row>
    <row r="218" spans="1:6" x14ac:dyDescent="0.25">
      <c r="A218" t="s">
        <v>1079</v>
      </c>
      <c r="B218" t="s">
        <v>1165</v>
      </c>
      <c r="C218" t="s">
        <v>487</v>
      </c>
      <c r="D218" t="str">
        <f>_xlfn.XLOOKUP(C218,'Allow&amp;Disa Exp by Truelayer cat'!$B:$B,'Allow&amp;Disa Exp by Truelayer cat'!$C:$C)</f>
        <v>Allowable</v>
      </c>
      <c r="E218" s="116">
        <f>_xlfn.XLOOKUP(C218,'Allow&amp;Disa Exp by Truelayer cat'!$B:$B,'Allow&amp;Disa Exp by Truelayer cat'!$D:$D)</f>
        <v>0</v>
      </c>
      <c r="F218" t="str">
        <f>_xlfn.XLOOKUP(C218,'Allow&amp;Disa Exp by Truelayer cat'!$B:$B,'Allow&amp;Disa Exp by Truelayer cat'!$E:$E)</f>
        <v>Deduct from expenses</v>
      </c>
    </row>
    <row r="219" spans="1:6" x14ac:dyDescent="0.25">
      <c r="A219" t="s">
        <v>1079</v>
      </c>
      <c r="B219" t="s">
        <v>1166</v>
      </c>
      <c r="C219" t="s">
        <v>487</v>
      </c>
      <c r="D219" t="str">
        <f>_xlfn.XLOOKUP(C219,'Allow&amp;Disa Exp by Truelayer cat'!$B:$B,'Allow&amp;Disa Exp by Truelayer cat'!$C:$C)</f>
        <v>Allowable</v>
      </c>
      <c r="E219" s="116">
        <f>_xlfn.XLOOKUP(C219,'Allow&amp;Disa Exp by Truelayer cat'!$B:$B,'Allow&amp;Disa Exp by Truelayer cat'!$D:$D)</f>
        <v>0</v>
      </c>
      <c r="F219" t="str">
        <f>_xlfn.XLOOKUP(C219,'Allow&amp;Disa Exp by Truelayer cat'!$B:$B,'Allow&amp;Disa Exp by Truelayer cat'!$E:$E)</f>
        <v>Deduct from expenses</v>
      </c>
    </row>
    <row r="220" spans="1:6" x14ac:dyDescent="0.25">
      <c r="A220" t="s">
        <v>1079</v>
      </c>
      <c r="B220" t="s">
        <v>1167</v>
      </c>
      <c r="C220" t="s">
        <v>487</v>
      </c>
      <c r="D220" t="str">
        <f>_xlfn.XLOOKUP(C220,'Allow&amp;Disa Exp by Truelayer cat'!$B:$B,'Allow&amp;Disa Exp by Truelayer cat'!$C:$C)</f>
        <v>Allowable</v>
      </c>
      <c r="E220" s="116">
        <f>_xlfn.XLOOKUP(C220,'Allow&amp;Disa Exp by Truelayer cat'!$B:$B,'Allow&amp;Disa Exp by Truelayer cat'!$D:$D)</f>
        <v>0</v>
      </c>
      <c r="F220" t="str">
        <f>_xlfn.XLOOKUP(C220,'Allow&amp;Disa Exp by Truelayer cat'!$B:$B,'Allow&amp;Disa Exp by Truelayer cat'!$E:$E)</f>
        <v>Deduct from expenses</v>
      </c>
    </row>
    <row r="221" spans="1:6" x14ac:dyDescent="0.25">
      <c r="A221" t="s">
        <v>1079</v>
      </c>
      <c r="B221" t="s">
        <v>1168</v>
      </c>
      <c r="C221" t="s">
        <v>487</v>
      </c>
      <c r="D221" t="str">
        <f>_xlfn.XLOOKUP(C221,'Allow&amp;Disa Exp by Truelayer cat'!$B:$B,'Allow&amp;Disa Exp by Truelayer cat'!$C:$C)</f>
        <v>Allowable</v>
      </c>
      <c r="E221" s="116">
        <f>_xlfn.XLOOKUP(C221,'Allow&amp;Disa Exp by Truelayer cat'!$B:$B,'Allow&amp;Disa Exp by Truelayer cat'!$D:$D)</f>
        <v>0</v>
      </c>
      <c r="F221" t="str">
        <f>_xlfn.XLOOKUP(C221,'Allow&amp;Disa Exp by Truelayer cat'!$B:$B,'Allow&amp;Disa Exp by Truelayer cat'!$E:$E)</f>
        <v>Deduct from expenses</v>
      </c>
    </row>
    <row r="222" spans="1:6" x14ac:dyDescent="0.25">
      <c r="A222" t="s">
        <v>1079</v>
      </c>
      <c r="B222" t="s">
        <v>1169</v>
      </c>
      <c r="C222" t="s">
        <v>487</v>
      </c>
      <c r="D222" t="str">
        <f>_xlfn.XLOOKUP(C222,'Allow&amp;Disa Exp by Truelayer cat'!$B:$B,'Allow&amp;Disa Exp by Truelayer cat'!$C:$C)</f>
        <v>Allowable</v>
      </c>
      <c r="E222" s="116">
        <f>_xlfn.XLOOKUP(C222,'Allow&amp;Disa Exp by Truelayer cat'!$B:$B,'Allow&amp;Disa Exp by Truelayer cat'!$D:$D)</f>
        <v>0</v>
      </c>
      <c r="F222" t="str">
        <f>_xlfn.XLOOKUP(C222,'Allow&amp;Disa Exp by Truelayer cat'!$B:$B,'Allow&amp;Disa Exp by Truelayer cat'!$E:$E)</f>
        <v>Deduct from expenses</v>
      </c>
    </row>
    <row r="223" spans="1:6" x14ac:dyDescent="0.25">
      <c r="A223" t="s">
        <v>1079</v>
      </c>
      <c r="B223" t="s">
        <v>1170</v>
      </c>
      <c r="C223" t="s">
        <v>487</v>
      </c>
      <c r="D223" t="str">
        <f>_xlfn.XLOOKUP(C223,'Allow&amp;Disa Exp by Truelayer cat'!$B:$B,'Allow&amp;Disa Exp by Truelayer cat'!$C:$C)</f>
        <v>Allowable</v>
      </c>
      <c r="E223" s="116">
        <f>_xlfn.XLOOKUP(C223,'Allow&amp;Disa Exp by Truelayer cat'!$B:$B,'Allow&amp;Disa Exp by Truelayer cat'!$D:$D)</f>
        <v>0</v>
      </c>
      <c r="F223" t="str">
        <f>_xlfn.XLOOKUP(C223,'Allow&amp;Disa Exp by Truelayer cat'!$B:$B,'Allow&amp;Disa Exp by Truelayer cat'!$E:$E)</f>
        <v>Deduct from expenses</v>
      </c>
    </row>
    <row r="224" spans="1:6" x14ac:dyDescent="0.25">
      <c r="A224" t="s">
        <v>1079</v>
      </c>
      <c r="B224" t="s">
        <v>1171</v>
      </c>
      <c r="C224" t="s">
        <v>487</v>
      </c>
      <c r="D224" t="str">
        <f>_xlfn.XLOOKUP(C224,'Allow&amp;Disa Exp by Truelayer cat'!$B:$B,'Allow&amp;Disa Exp by Truelayer cat'!$C:$C)</f>
        <v>Allowable</v>
      </c>
      <c r="E224" s="116">
        <f>_xlfn.XLOOKUP(C224,'Allow&amp;Disa Exp by Truelayer cat'!$B:$B,'Allow&amp;Disa Exp by Truelayer cat'!$D:$D)</f>
        <v>0</v>
      </c>
      <c r="F224" t="str">
        <f>_xlfn.XLOOKUP(C224,'Allow&amp;Disa Exp by Truelayer cat'!$B:$B,'Allow&amp;Disa Exp by Truelayer cat'!$E:$E)</f>
        <v>Deduct from expenses</v>
      </c>
    </row>
    <row r="225" spans="1:6" x14ac:dyDescent="0.25">
      <c r="A225" t="s">
        <v>1079</v>
      </c>
      <c r="B225" t="s">
        <v>1172</v>
      </c>
      <c r="C225" t="s">
        <v>487</v>
      </c>
      <c r="D225" t="str">
        <f>_xlfn.XLOOKUP(C225,'Allow&amp;Disa Exp by Truelayer cat'!$B:$B,'Allow&amp;Disa Exp by Truelayer cat'!$C:$C)</f>
        <v>Allowable</v>
      </c>
      <c r="E225" s="116">
        <f>_xlfn.XLOOKUP(C225,'Allow&amp;Disa Exp by Truelayer cat'!$B:$B,'Allow&amp;Disa Exp by Truelayer cat'!$D:$D)</f>
        <v>0</v>
      </c>
      <c r="F225" t="str">
        <f>_xlfn.XLOOKUP(C225,'Allow&amp;Disa Exp by Truelayer cat'!$B:$B,'Allow&amp;Disa Exp by Truelayer cat'!$E:$E)</f>
        <v>Deduct from expenses</v>
      </c>
    </row>
    <row r="226" spans="1:6" x14ac:dyDescent="0.25">
      <c r="A226" t="s">
        <v>1079</v>
      </c>
      <c r="B226" t="s">
        <v>1173</v>
      </c>
      <c r="C226" t="s">
        <v>487</v>
      </c>
      <c r="D226" t="str">
        <f>_xlfn.XLOOKUP(C226,'Allow&amp;Disa Exp by Truelayer cat'!$B:$B,'Allow&amp;Disa Exp by Truelayer cat'!$C:$C)</f>
        <v>Allowable</v>
      </c>
      <c r="E226" s="116">
        <f>_xlfn.XLOOKUP(C226,'Allow&amp;Disa Exp by Truelayer cat'!$B:$B,'Allow&amp;Disa Exp by Truelayer cat'!$D:$D)</f>
        <v>0</v>
      </c>
      <c r="F226" t="str">
        <f>_xlfn.XLOOKUP(C226,'Allow&amp;Disa Exp by Truelayer cat'!$B:$B,'Allow&amp;Disa Exp by Truelayer cat'!$E:$E)</f>
        <v>Deduct from expenses</v>
      </c>
    </row>
    <row r="227" spans="1:6" x14ac:dyDescent="0.25">
      <c r="A227" t="s">
        <v>1079</v>
      </c>
      <c r="B227" t="s">
        <v>1174</v>
      </c>
      <c r="C227" t="s">
        <v>487</v>
      </c>
      <c r="D227" t="str">
        <f>_xlfn.XLOOKUP(C227,'Allow&amp;Disa Exp by Truelayer cat'!$B:$B,'Allow&amp;Disa Exp by Truelayer cat'!$C:$C)</f>
        <v>Allowable</v>
      </c>
      <c r="E227" s="116">
        <f>_xlfn.XLOOKUP(C227,'Allow&amp;Disa Exp by Truelayer cat'!$B:$B,'Allow&amp;Disa Exp by Truelayer cat'!$D:$D)</f>
        <v>0</v>
      </c>
      <c r="F227" t="str">
        <f>_xlfn.XLOOKUP(C227,'Allow&amp;Disa Exp by Truelayer cat'!$B:$B,'Allow&amp;Disa Exp by Truelayer cat'!$E:$E)</f>
        <v>Deduct from expenses</v>
      </c>
    </row>
    <row r="228" spans="1:6" x14ac:dyDescent="0.25">
      <c r="A228" t="s">
        <v>1079</v>
      </c>
      <c r="B228" t="s">
        <v>1175</v>
      </c>
      <c r="C228" t="s">
        <v>487</v>
      </c>
      <c r="D228" t="str">
        <f>_xlfn.XLOOKUP(C228,'Allow&amp;Disa Exp by Truelayer cat'!$B:$B,'Allow&amp;Disa Exp by Truelayer cat'!$C:$C)</f>
        <v>Allowable</v>
      </c>
      <c r="E228" s="116">
        <f>_xlfn.XLOOKUP(C228,'Allow&amp;Disa Exp by Truelayer cat'!$B:$B,'Allow&amp;Disa Exp by Truelayer cat'!$D:$D)</f>
        <v>0</v>
      </c>
      <c r="F228" t="str">
        <f>_xlfn.XLOOKUP(C228,'Allow&amp;Disa Exp by Truelayer cat'!$B:$B,'Allow&amp;Disa Exp by Truelayer cat'!$E:$E)</f>
        <v>Deduct from expenses</v>
      </c>
    </row>
    <row r="229" spans="1:6" x14ac:dyDescent="0.25">
      <c r="A229" t="s">
        <v>1079</v>
      </c>
      <c r="B229" t="s">
        <v>1176</v>
      </c>
      <c r="C229" t="s">
        <v>487</v>
      </c>
      <c r="D229" t="str">
        <f>_xlfn.XLOOKUP(C229,'Allow&amp;Disa Exp by Truelayer cat'!$B:$B,'Allow&amp;Disa Exp by Truelayer cat'!$C:$C)</f>
        <v>Allowable</v>
      </c>
      <c r="E229" s="116">
        <f>_xlfn.XLOOKUP(C229,'Allow&amp;Disa Exp by Truelayer cat'!$B:$B,'Allow&amp;Disa Exp by Truelayer cat'!$D:$D)</f>
        <v>0</v>
      </c>
      <c r="F229" t="str">
        <f>_xlfn.XLOOKUP(C229,'Allow&amp;Disa Exp by Truelayer cat'!$B:$B,'Allow&amp;Disa Exp by Truelayer cat'!$E:$E)</f>
        <v>Deduct from expenses</v>
      </c>
    </row>
    <row r="230" spans="1:6" x14ac:dyDescent="0.25">
      <c r="A230" t="s">
        <v>1079</v>
      </c>
      <c r="B230" t="s">
        <v>1177</v>
      </c>
      <c r="C230" t="s">
        <v>487</v>
      </c>
      <c r="D230" t="str">
        <f>_xlfn.XLOOKUP(C230,'Allow&amp;Disa Exp by Truelayer cat'!$B:$B,'Allow&amp;Disa Exp by Truelayer cat'!$C:$C)</f>
        <v>Allowable</v>
      </c>
      <c r="E230" s="116">
        <f>_xlfn.XLOOKUP(C230,'Allow&amp;Disa Exp by Truelayer cat'!$B:$B,'Allow&amp;Disa Exp by Truelayer cat'!$D:$D)</f>
        <v>0</v>
      </c>
      <c r="F230" t="str">
        <f>_xlfn.XLOOKUP(C230,'Allow&amp;Disa Exp by Truelayer cat'!$B:$B,'Allow&amp;Disa Exp by Truelayer cat'!$E:$E)</f>
        <v>Deduct from expenses</v>
      </c>
    </row>
    <row r="231" spans="1:6" x14ac:dyDescent="0.25">
      <c r="A231" t="s">
        <v>1079</v>
      </c>
      <c r="B231" t="s">
        <v>1178</v>
      </c>
      <c r="C231" t="s">
        <v>487</v>
      </c>
      <c r="D231" t="str">
        <f>_xlfn.XLOOKUP(C231,'Allow&amp;Disa Exp by Truelayer cat'!$B:$B,'Allow&amp;Disa Exp by Truelayer cat'!$C:$C)</f>
        <v>Allowable</v>
      </c>
      <c r="E231" s="116">
        <f>_xlfn.XLOOKUP(C231,'Allow&amp;Disa Exp by Truelayer cat'!$B:$B,'Allow&amp;Disa Exp by Truelayer cat'!$D:$D)</f>
        <v>0</v>
      </c>
      <c r="F231" t="str">
        <f>_xlfn.XLOOKUP(C231,'Allow&amp;Disa Exp by Truelayer cat'!$B:$B,'Allow&amp;Disa Exp by Truelayer cat'!$E:$E)</f>
        <v>Deduct from expenses</v>
      </c>
    </row>
    <row r="232" spans="1:6" x14ac:dyDescent="0.25">
      <c r="A232" t="s">
        <v>1079</v>
      </c>
      <c r="B232" t="s">
        <v>1179</v>
      </c>
      <c r="C232" t="s">
        <v>487</v>
      </c>
      <c r="D232" t="str">
        <f>_xlfn.XLOOKUP(C232,'Allow&amp;Disa Exp by Truelayer cat'!$B:$B,'Allow&amp;Disa Exp by Truelayer cat'!$C:$C)</f>
        <v>Allowable</v>
      </c>
      <c r="E232" s="116">
        <f>_xlfn.XLOOKUP(C232,'Allow&amp;Disa Exp by Truelayer cat'!$B:$B,'Allow&amp;Disa Exp by Truelayer cat'!$D:$D)</f>
        <v>0</v>
      </c>
      <c r="F232" t="str">
        <f>_xlfn.XLOOKUP(C232,'Allow&amp;Disa Exp by Truelayer cat'!$B:$B,'Allow&amp;Disa Exp by Truelayer cat'!$E:$E)</f>
        <v>Deduct from expenses</v>
      </c>
    </row>
    <row r="233" spans="1:6" x14ac:dyDescent="0.25">
      <c r="A233" t="s">
        <v>1079</v>
      </c>
      <c r="B233" t="s">
        <v>1180</v>
      </c>
      <c r="C233" t="s">
        <v>487</v>
      </c>
      <c r="D233" t="str">
        <f>_xlfn.XLOOKUP(C233,'Allow&amp;Disa Exp by Truelayer cat'!$B:$B,'Allow&amp;Disa Exp by Truelayer cat'!$C:$C)</f>
        <v>Allowable</v>
      </c>
      <c r="E233" s="116">
        <f>_xlfn.XLOOKUP(C233,'Allow&amp;Disa Exp by Truelayer cat'!$B:$B,'Allow&amp;Disa Exp by Truelayer cat'!$D:$D)</f>
        <v>0</v>
      </c>
      <c r="F233" t="str">
        <f>_xlfn.XLOOKUP(C233,'Allow&amp;Disa Exp by Truelayer cat'!$B:$B,'Allow&amp;Disa Exp by Truelayer cat'!$E:$E)</f>
        <v>Deduct from expenses</v>
      </c>
    </row>
    <row r="234" spans="1:6" x14ac:dyDescent="0.25">
      <c r="A234" t="s">
        <v>1079</v>
      </c>
      <c r="B234" t="s">
        <v>1181</v>
      </c>
      <c r="C234" t="s">
        <v>487</v>
      </c>
      <c r="D234" t="str">
        <f>_xlfn.XLOOKUP(C234,'Allow&amp;Disa Exp by Truelayer cat'!$B:$B,'Allow&amp;Disa Exp by Truelayer cat'!$C:$C)</f>
        <v>Allowable</v>
      </c>
      <c r="E234" s="116">
        <f>_xlfn.XLOOKUP(C234,'Allow&amp;Disa Exp by Truelayer cat'!$B:$B,'Allow&amp;Disa Exp by Truelayer cat'!$D:$D)</f>
        <v>0</v>
      </c>
      <c r="F234" t="str">
        <f>_xlfn.XLOOKUP(C234,'Allow&amp;Disa Exp by Truelayer cat'!$B:$B,'Allow&amp;Disa Exp by Truelayer cat'!$E:$E)</f>
        <v>Deduct from expenses</v>
      </c>
    </row>
    <row r="235" spans="1:6" x14ac:dyDescent="0.25">
      <c r="A235" t="s">
        <v>1079</v>
      </c>
      <c r="B235" t="s">
        <v>1182</v>
      </c>
      <c r="C235" t="s">
        <v>487</v>
      </c>
      <c r="D235" t="str">
        <f>_xlfn.XLOOKUP(C235,'Allow&amp;Disa Exp by Truelayer cat'!$B:$B,'Allow&amp;Disa Exp by Truelayer cat'!$C:$C)</f>
        <v>Allowable</v>
      </c>
      <c r="E235" s="116">
        <f>_xlfn.XLOOKUP(C235,'Allow&amp;Disa Exp by Truelayer cat'!$B:$B,'Allow&amp;Disa Exp by Truelayer cat'!$D:$D)</f>
        <v>0</v>
      </c>
      <c r="F235" t="str">
        <f>_xlfn.XLOOKUP(C235,'Allow&amp;Disa Exp by Truelayer cat'!$B:$B,'Allow&amp;Disa Exp by Truelayer cat'!$E:$E)</f>
        <v>Deduct from expenses</v>
      </c>
    </row>
    <row r="236" spans="1:6" x14ac:dyDescent="0.25">
      <c r="A236" t="s">
        <v>1079</v>
      </c>
      <c r="B236" t="s">
        <v>1183</v>
      </c>
      <c r="C236" t="s">
        <v>487</v>
      </c>
      <c r="D236" t="str">
        <f>_xlfn.XLOOKUP(C236,'Allow&amp;Disa Exp by Truelayer cat'!$B:$B,'Allow&amp;Disa Exp by Truelayer cat'!$C:$C)</f>
        <v>Allowable</v>
      </c>
      <c r="E236" s="116">
        <f>_xlfn.XLOOKUP(C236,'Allow&amp;Disa Exp by Truelayer cat'!$B:$B,'Allow&amp;Disa Exp by Truelayer cat'!$D:$D)</f>
        <v>0</v>
      </c>
      <c r="F236" t="str">
        <f>_xlfn.XLOOKUP(C236,'Allow&amp;Disa Exp by Truelayer cat'!$B:$B,'Allow&amp;Disa Exp by Truelayer cat'!$E:$E)</f>
        <v>Deduct from expenses</v>
      </c>
    </row>
    <row r="237" spans="1:6" x14ac:dyDescent="0.25">
      <c r="A237" t="s">
        <v>1079</v>
      </c>
      <c r="B237" t="s">
        <v>1184</v>
      </c>
      <c r="C237" t="s">
        <v>487</v>
      </c>
      <c r="D237" t="str">
        <f>_xlfn.XLOOKUP(C237,'Allow&amp;Disa Exp by Truelayer cat'!$B:$B,'Allow&amp;Disa Exp by Truelayer cat'!$C:$C)</f>
        <v>Allowable</v>
      </c>
      <c r="E237" s="116">
        <f>_xlfn.XLOOKUP(C237,'Allow&amp;Disa Exp by Truelayer cat'!$B:$B,'Allow&amp;Disa Exp by Truelayer cat'!$D:$D)</f>
        <v>0</v>
      </c>
      <c r="F237" t="str">
        <f>_xlfn.XLOOKUP(C237,'Allow&amp;Disa Exp by Truelayer cat'!$B:$B,'Allow&amp;Disa Exp by Truelayer cat'!$E:$E)</f>
        <v>Deduct from expenses</v>
      </c>
    </row>
    <row r="238" spans="1:6" x14ac:dyDescent="0.25">
      <c r="A238" t="s">
        <v>1079</v>
      </c>
      <c r="B238" t="s">
        <v>1185</v>
      </c>
      <c r="C238" t="s">
        <v>487</v>
      </c>
      <c r="D238" t="str">
        <f>_xlfn.XLOOKUP(C238,'Allow&amp;Disa Exp by Truelayer cat'!$B:$B,'Allow&amp;Disa Exp by Truelayer cat'!$C:$C)</f>
        <v>Allowable</v>
      </c>
      <c r="E238" s="116">
        <f>_xlfn.XLOOKUP(C238,'Allow&amp;Disa Exp by Truelayer cat'!$B:$B,'Allow&amp;Disa Exp by Truelayer cat'!$D:$D)</f>
        <v>0</v>
      </c>
      <c r="F238" t="str">
        <f>_xlfn.XLOOKUP(C238,'Allow&amp;Disa Exp by Truelayer cat'!$B:$B,'Allow&amp;Disa Exp by Truelayer cat'!$E:$E)</f>
        <v>Deduct from expenses</v>
      </c>
    </row>
    <row r="239" spans="1:6" x14ac:dyDescent="0.25">
      <c r="A239" t="s">
        <v>1079</v>
      </c>
      <c r="B239" t="s">
        <v>1186</v>
      </c>
      <c r="C239" t="s">
        <v>487</v>
      </c>
      <c r="D239" t="str">
        <f>_xlfn.XLOOKUP(C239,'Allow&amp;Disa Exp by Truelayer cat'!$B:$B,'Allow&amp;Disa Exp by Truelayer cat'!$C:$C)</f>
        <v>Allowable</v>
      </c>
      <c r="E239" s="116">
        <f>_xlfn.XLOOKUP(C239,'Allow&amp;Disa Exp by Truelayer cat'!$B:$B,'Allow&amp;Disa Exp by Truelayer cat'!$D:$D)</f>
        <v>0</v>
      </c>
      <c r="F239" t="str">
        <f>_xlfn.XLOOKUP(C239,'Allow&amp;Disa Exp by Truelayer cat'!$B:$B,'Allow&amp;Disa Exp by Truelayer cat'!$E:$E)</f>
        <v>Deduct from expenses</v>
      </c>
    </row>
    <row r="240" spans="1:6" x14ac:dyDescent="0.25">
      <c r="A240" t="s">
        <v>1079</v>
      </c>
      <c r="B240" t="s">
        <v>1187</v>
      </c>
      <c r="C240" t="s">
        <v>487</v>
      </c>
      <c r="D240" t="str">
        <f>_xlfn.XLOOKUP(C240,'Allow&amp;Disa Exp by Truelayer cat'!$B:$B,'Allow&amp;Disa Exp by Truelayer cat'!$C:$C)</f>
        <v>Allowable</v>
      </c>
      <c r="E240" s="116">
        <f>_xlfn.XLOOKUP(C240,'Allow&amp;Disa Exp by Truelayer cat'!$B:$B,'Allow&amp;Disa Exp by Truelayer cat'!$D:$D)</f>
        <v>0</v>
      </c>
      <c r="F240" t="str">
        <f>_xlfn.XLOOKUP(C240,'Allow&amp;Disa Exp by Truelayer cat'!$B:$B,'Allow&amp;Disa Exp by Truelayer cat'!$E:$E)</f>
        <v>Deduct from expenses</v>
      </c>
    </row>
    <row r="241" spans="1:6" x14ac:dyDescent="0.25">
      <c r="A241" t="s">
        <v>1079</v>
      </c>
      <c r="B241" t="s">
        <v>1188</v>
      </c>
      <c r="C241" t="s">
        <v>487</v>
      </c>
      <c r="D241" t="str">
        <f>_xlfn.XLOOKUP(C241,'Allow&amp;Disa Exp by Truelayer cat'!$B:$B,'Allow&amp;Disa Exp by Truelayer cat'!$C:$C)</f>
        <v>Allowable</v>
      </c>
      <c r="E241" s="116">
        <f>_xlfn.XLOOKUP(C241,'Allow&amp;Disa Exp by Truelayer cat'!$B:$B,'Allow&amp;Disa Exp by Truelayer cat'!$D:$D)</f>
        <v>0</v>
      </c>
      <c r="F241" t="str">
        <f>_xlfn.XLOOKUP(C241,'Allow&amp;Disa Exp by Truelayer cat'!$B:$B,'Allow&amp;Disa Exp by Truelayer cat'!$E:$E)</f>
        <v>Deduct from expenses</v>
      </c>
    </row>
    <row r="242" spans="1:6" x14ac:dyDescent="0.25">
      <c r="A242" t="s">
        <v>1079</v>
      </c>
      <c r="B242" t="s">
        <v>1189</v>
      </c>
      <c r="C242" t="s">
        <v>487</v>
      </c>
      <c r="D242" t="str">
        <f>_xlfn.XLOOKUP(C242,'Allow&amp;Disa Exp by Truelayer cat'!$B:$B,'Allow&amp;Disa Exp by Truelayer cat'!$C:$C)</f>
        <v>Allowable</v>
      </c>
      <c r="E242" s="116">
        <f>_xlfn.XLOOKUP(C242,'Allow&amp;Disa Exp by Truelayer cat'!$B:$B,'Allow&amp;Disa Exp by Truelayer cat'!$D:$D)</f>
        <v>0</v>
      </c>
      <c r="F242" t="str">
        <f>_xlfn.XLOOKUP(C242,'Allow&amp;Disa Exp by Truelayer cat'!$B:$B,'Allow&amp;Disa Exp by Truelayer cat'!$E:$E)</f>
        <v>Deduct from expenses</v>
      </c>
    </row>
    <row r="243" spans="1:6" x14ac:dyDescent="0.25">
      <c r="A243" t="s">
        <v>1079</v>
      </c>
      <c r="B243" t="s">
        <v>1190</v>
      </c>
      <c r="C243" t="s">
        <v>487</v>
      </c>
      <c r="D243" t="str">
        <f>_xlfn.XLOOKUP(C243,'Allow&amp;Disa Exp by Truelayer cat'!$B:$B,'Allow&amp;Disa Exp by Truelayer cat'!$C:$C)</f>
        <v>Allowable</v>
      </c>
      <c r="E243" s="116">
        <f>_xlfn.XLOOKUP(C243,'Allow&amp;Disa Exp by Truelayer cat'!$B:$B,'Allow&amp;Disa Exp by Truelayer cat'!$D:$D)</f>
        <v>0</v>
      </c>
      <c r="F243" t="str">
        <f>_xlfn.XLOOKUP(C243,'Allow&amp;Disa Exp by Truelayer cat'!$B:$B,'Allow&amp;Disa Exp by Truelayer cat'!$E:$E)</f>
        <v>Deduct from expenses</v>
      </c>
    </row>
    <row r="244" spans="1:6" x14ac:dyDescent="0.25">
      <c r="A244" t="s">
        <v>1079</v>
      </c>
      <c r="B244" t="s">
        <v>1191</v>
      </c>
      <c r="C244" t="s">
        <v>487</v>
      </c>
      <c r="D244" t="str">
        <f>_xlfn.XLOOKUP(C244,'Allow&amp;Disa Exp by Truelayer cat'!$B:$B,'Allow&amp;Disa Exp by Truelayer cat'!$C:$C)</f>
        <v>Allowable</v>
      </c>
      <c r="E244" s="116">
        <f>_xlfn.XLOOKUP(C244,'Allow&amp;Disa Exp by Truelayer cat'!$B:$B,'Allow&amp;Disa Exp by Truelayer cat'!$D:$D)</f>
        <v>0</v>
      </c>
      <c r="F244" t="str">
        <f>_xlfn.XLOOKUP(C244,'Allow&amp;Disa Exp by Truelayer cat'!$B:$B,'Allow&amp;Disa Exp by Truelayer cat'!$E:$E)</f>
        <v>Deduct from expenses</v>
      </c>
    </row>
    <row r="245" spans="1:6" x14ac:dyDescent="0.25">
      <c r="A245" t="s">
        <v>1079</v>
      </c>
      <c r="B245" t="s">
        <v>1192</v>
      </c>
      <c r="C245" t="s">
        <v>487</v>
      </c>
      <c r="D245" t="str">
        <f>_xlfn.XLOOKUP(C245,'Allow&amp;Disa Exp by Truelayer cat'!$B:$B,'Allow&amp;Disa Exp by Truelayer cat'!$C:$C)</f>
        <v>Allowable</v>
      </c>
      <c r="E245" s="116">
        <f>_xlfn.XLOOKUP(C245,'Allow&amp;Disa Exp by Truelayer cat'!$B:$B,'Allow&amp;Disa Exp by Truelayer cat'!$D:$D)</f>
        <v>0</v>
      </c>
      <c r="F245" t="str">
        <f>_xlfn.XLOOKUP(C245,'Allow&amp;Disa Exp by Truelayer cat'!$B:$B,'Allow&amp;Disa Exp by Truelayer cat'!$E:$E)</f>
        <v>Deduct from expenses</v>
      </c>
    </row>
    <row r="246" spans="1:6" x14ac:dyDescent="0.25">
      <c r="A246" t="s">
        <v>1079</v>
      </c>
      <c r="B246" t="s">
        <v>1193</v>
      </c>
      <c r="C246" t="s">
        <v>487</v>
      </c>
      <c r="D246" t="str">
        <f>_xlfn.XLOOKUP(C246,'Allow&amp;Disa Exp by Truelayer cat'!$B:$B,'Allow&amp;Disa Exp by Truelayer cat'!$C:$C)</f>
        <v>Allowable</v>
      </c>
      <c r="E246" s="116">
        <f>_xlfn.XLOOKUP(C246,'Allow&amp;Disa Exp by Truelayer cat'!$B:$B,'Allow&amp;Disa Exp by Truelayer cat'!$D:$D)</f>
        <v>0</v>
      </c>
      <c r="F246" t="str">
        <f>_xlfn.XLOOKUP(C246,'Allow&amp;Disa Exp by Truelayer cat'!$B:$B,'Allow&amp;Disa Exp by Truelayer cat'!$E:$E)</f>
        <v>Deduct from expenses</v>
      </c>
    </row>
    <row r="247" spans="1:6" x14ac:dyDescent="0.25">
      <c r="A247" t="s">
        <v>1079</v>
      </c>
      <c r="B247" t="s">
        <v>1194</v>
      </c>
      <c r="C247" t="s">
        <v>487</v>
      </c>
      <c r="D247" t="str">
        <f>_xlfn.XLOOKUP(C247,'Allow&amp;Disa Exp by Truelayer cat'!$B:$B,'Allow&amp;Disa Exp by Truelayer cat'!$C:$C)</f>
        <v>Allowable</v>
      </c>
      <c r="E247" s="116">
        <f>_xlfn.XLOOKUP(C247,'Allow&amp;Disa Exp by Truelayer cat'!$B:$B,'Allow&amp;Disa Exp by Truelayer cat'!$D:$D)</f>
        <v>0</v>
      </c>
      <c r="F247" t="str">
        <f>_xlfn.XLOOKUP(C247,'Allow&amp;Disa Exp by Truelayer cat'!$B:$B,'Allow&amp;Disa Exp by Truelayer cat'!$E:$E)</f>
        <v>Deduct from expenses</v>
      </c>
    </row>
    <row r="248" spans="1:6" x14ac:dyDescent="0.25">
      <c r="A248" t="s">
        <v>1079</v>
      </c>
      <c r="B248" t="s">
        <v>1195</v>
      </c>
      <c r="C248" t="s">
        <v>487</v>
      </c>
      <c r="D248" t="str">
        <f>_xlfn.XLOOKUP(C248,'Allow&amp;Disa Exp by Truelayer cat'!$B:$B,'Allow&amp;Disa Exp by Truelayer cat'!$C:$C)</f>
        <v>Allowable</v>
      </c>
      <c r="E248" s="116">
        <f>_xlfn.XLOOKUP(C248,'Allow&amp;Disa Exp by Truelayer cat'!$B:$B,'Allow&amp;Disa Exp by Truelayer cat'!$D:$D)</f>
        <v>0</v>
      </c>
      <c r="F248" t="str">
        <f>_xlfn.XLOOKUP(C248,'Allow&amp;Disa Exp by Truelayer cat'!$B:$B,'Allow&amp;Disa Exp by Truelayer cat'!$E:$E)</f>
        <v>Deduct from expenses</v>
      </c>
    </row>
    <row r="249" spans="1:6" x14ac:dyDescent="0.25">
      <c r="A249" t="s">
        <v>1079</v>
      </c>
      <c r="B249" t="s">
        <v>1196</v>
      </c>
      <c r="C249" t="s">
        <v>487</v>
      </c>
      <c r="D249" t="str">
        <f>_xlfn.XLOOKUP(C249,'Allow&amp;Disa Exp by Truelayer cat'!$B:$B,'Allow&amp;Disa Exp by Truelayer cat'!$C:$C)</f>
        <v>Allowable</v>
      </c>
      <c r="E249" s="116">
        <f>_xlfn.XLOOKUP(C249,'Allow&amp;Disa Exp by Truelayer cat'!$B:$B,'Allow&amp;Disa Exp by Truelayer cat'!$D:$D)</f>
        <v>0</v>
      </c>
      <c r="F249" t="str">
        <f>_xlfn.XLOOKUP(C249,'Allow&amp;Disa Exp by Truelayer cat'!$B:$B,'Allow&amp;Disa Exp by Truelayer cat'!$E:$E)</f>
        <v>Deduct from expenses</v>
      </c>
    </row>
    <row r="250" spans="1:6" x14ac:dyDescent="0.25">
      <c r="A250" t="s">
        <v>1079</v>
      </c>
      <c r="B250" t="s">
        <v>1197</v>
      </c>
      <c r="C250" t="s">
        <v>487</v>
      </c>
      <c r="D250" t="str">
        <f>_xlfn.XLOOKUP(C250,'Allow&amp;Disa Exp by Truelayer cat'!$B:$B,'Allow&amp;Disa Exp by Truelayer cat'!$C:$C)</f>
        <v>Allowable</v>
      </c>
      <c r="E250" s="116">
        <f>_xlfn.XLOOKUP(C250,'Allow&amp;Disa Exp by Truelayer cat'!$B:$B,'Allow&amp;Disa Exp by Truelayer cat'!$D:$D)</f>
        <v>0</v>
      </c>
      <c r="F250" t="str">
        <f>_xlfn.XLOOKUP(C250,'Allow&amp;Disa Exp by Truelayer cat'!$B:$B,'Allow&amp;Disa Exp by Truelayer cat'!$E:$E)</f>
        <v>Deduct from expenses</v>
      </c>
    </row>
    <row r="251" spans="1:6" x14ac:dyDescent="0.25">
      <c r="A251" t="s">
        <v>1079</v>
      </c>
      <c r="B251" t="s">
        <v>1198</v>
      </c>
      <c r="C251" t="s">
        <v>487</v>
      </c>
      <c r="D251" t="str">
        <f>_xlfn.XLOOKUP(C251,'Allow&amp;Disa Exp by Truelayer cat'!$B:$B,'Allow&amp;Disa Exp by Truelayer cat'!$C:$C)</f>
        <v>Allowable</v>
      </c>
      <c r="E251" s="116">
        <f>_xlfn.XLOOKUP(C251,'Allow&amp;Disa Exp by Truelayer cat'!$B:$B,'Allow&amp;Disa Exp by Truelayer cat'!$D:$D)</f>
        <v>0</v>
      </c>
      <c r="F251" t="str">
        <f>_xlfn.XLOOKUP(C251,'Allow&amp;Disa Exp by Truelayer cat'!$B:$B,'Allow&amp;Disa Exp by Truelayer cat'!$E:$E)</f>
        <v>Deduct from expenses</v>
      </c>
    </row>
    <row r="252" spans="1:6" x14ac:dyDescent="0.25">
      <c r="A252" t="s">
        <v>1079</v>
      </c>
      <c r="B252" t="s">
        <v>1199</v>
      </c>
      <c r="C252" t="s">
        <v>487</v>
      </c>
      <c r="D252" t="str">
        <f>_xlfn.XLOOKUP(C252,'Allow&amp;Disa Exp by Truelayer cat'!$B:$B,'Allow&amp;Disa Exp by Truelayer cat'!$C:$C)</f>
        <v>Allowable</v>
      </c>
      <c r="E252" s="116">
        <f>_xlfn.XLOOKUP(C252,'Allow&amp;Disa Exp by Truelayer cat'!$B:$B,'Allow&amp;Disa Exp by Truelayer cat'!$D:$D)</f>
        <v>0</v>
      </c>
      <c r="F252" t="str">
        <f>_xlfn.XLOOKUP(C252,'Allow&amp;Disa Exp by Truelayer cat'!$B:$B,'Allow&amp;Disa Exp by Truelayer cat'!$E:$E)</f>
        <v>Deduct from expenses</v>
      </c>
    </row>
    <row r="253" spans="1:6" x14ac:dyDescent="0.25">
      <c r="A253" t="s">
        <v>1079</v>
      </c>
      <c r="B253" t="s">
        <v>1200</v>
      </c>
      <c r="C253" t="s">
        <v>487</v>
      </c>
      <c r="D253" t="str">
        <f>_xlfn.XLOOKUP(C253,'Allow&amp;Disa Exp by Truelayer cat'!$B:$B,'Allow&amp;Disa Exp by Truelayer cat'!$C:$C)</f>
        <v>Allowable</v>
      </c>
      <c r="E253" s="116">
        <f>_xlfn.XLOOKUP(C253,'Allow&amp;Disa Exp by Truelayer cat'!$B:$B,'Allow&amp;Disa Exp by Truelayer cat'!$D:$D)</f>
        <v>0</v>
      </c>
      <c r="F253" t="str">
        <f>_xlfn.XLOOKUP(C253,'Allow&amp;Disa Exp by Truelayer cat'!$B:$B,'Allow&amp;Disa Exp by Truelayer cat'!$E:$E)</f>
        <v>Deduct from expenses</v>
      </c>
    </row>
    <row r="254" spans="1:6" x14ac:dyDescent="0.25">
      <c r="A254" t="s">
        <v>1079</v>
      </c>
      <c r="B254" t="s">
        <v>1201</v>
      </c>
      <c r="C254" t="s">
        <v>487</v>
      </c>
      <c r="D254" t="str">
        <f>_xlfn.XLOOKUP(C254,'Allow&amp;Disa Exp by Truelayer cat'!$B:$B,'Allow&amp;Disa Exp by Truelayer cat'!$C:$C)</f>
        <v>Allowable</v>
      </c>
      <c r="E254" s="116">
        <f>_xlfn.XLOOKUP(C254,'Allow&amp;Disa Exp by Truelayer cat'!$B:$B,'Allow&amp;Disa Exp by Truelayer cat'!$D:$D)</f>
        <v>0</v>
      </c>
      <c r="F254" t="str">
        <f>_xlfn.XLOOKUP(C254,'Allow&amp;Disa Exp by Truelayer cat'!$B:$B,'Allow&amp;Disa Exp by Truelayer cat'!$E:$E)</f>
        <v>Deduct from expenses</v>
      </c>
    </row>
    <row r="255" spans="1:6" x14ac:dyDescent="0.25">
      <c r="A255" t="s">
        <v>1079</v>
      </c>
      <c r="B255" t="s">
        <v>1202</v>
      </c>
      <c r="C255" t="s">
        <v>487</v>
      </c>
      <c r="D255" t="str">
        <f>_xlfn.XLOOKUP(C255,'Allow&amp;Disa Exp by Truelayer cat'!$B:$B,'Allow&amp;Disa Exp by Truelayer cat'!$C:$C)</f>
        <v>Allowable</v>
      </c>
      <c r="E255" s="116">
        <f>_xlfn.XLOOKUP(C255,'Allow&amp;Disa Exp by Truelayer cat'!$B:$B,'Allow&amp;Disa Exp by Truelayer cat'!$D:$D)</f>
        <v>0</v>
      </c>
      <c r="F255" t="str">
        <f>_xlfn.XLOOKUP(C255,'Allow&amp;Disa Exp by Truelayer cat'!$B:$B,'Allow&amp;Disa Exp by Truelayer cat'!$E:$E)</f>
        <v>Deduct from expenses</v>
      </c>
    </row>
    <row r="256" spans="1:6" x14ac:dyDescent="0.25">
      <c r="A256" t="s">
        <v>1079</v>
      </c>
      <c r="B256" t="s">
        <v>1203</v>
      </c>
      <c r="C256" t="s">
        <v>487</v>
      </c>
      <c r="D256" t="str">
        <f>_xlfn.XLOOKUP(C256,'Allow&amp;Disa Exp by Truelayer cat'!$B:$B,'Allow&amp;Disa Exp by Truelayer cat'!$C:$C)</f>
        <v>Allowable</v>
      </c>
      <c r="E256" s="116">
        <f>_xlfn.XLOOKUP(C256,'Allow&amp;Disa Exp by Truelayer cat'!$B:$B,'Allow&amp;Disa Exp by Truelayer cat'!$D:$D)</f>
        <v>0</v>
      </c>
      <c r="F256" t="str">
        <f>_xlfn.XLOOKUP(C256,'Allow&amp;Disa Exp by Truelayer cat'!$B:$B,'Allow&amp;Disa Exp by Truelayer cat'!$E:$E)</f>
        <v>Deduct from expenses</v>
      </c>
    </row>
    <row r="257" spans="1:6" x14ac:dyDescent="0.25">
      <c r="A257" t="s">
        <v>1079</v>
      </c>
      <c r="B257" t="s">
        <v>1204</v>
      </c>
      <c r="C257" t="s">
        <v>487</v>
      </c>
      <c r="D257" t="str">
        <f>_xlfn.XLOOKUP(C257,'Allow&amp;Disa Exp by Truelayer cat'!$B:$B,'Allow&amp;Disa Exp by Truelayer cat'!$C:$C)</f>
        <v>Allowable</v>
      </c>
      <c r="E257" s="116">
        <f>_xlfn.XLOOKUP(C257,'Allow&amp;Disa Exp by Truelayer cat'!$B:$B,'Allow&amp;Disa Exp by Truelayer cat'!$D:$D)</f>
        <v>0</v>
      </c>
      <c r="F257" t="str">
        <f>_xlfn.XLOOKUP(C257,'Allow&amp;Disa Exp by Truelayer cat'!$B:$B,'Allow&amp;Disa Exp by Truelayer cat'!$E:$E)</f>
        <v>Deduct from expenses</v>
      </c>
    </row>
    <row r="258" spans="1:6" x14ac:dyDescent="0.25">
      <c r="A258" t="s">
        <v>1079</v>
      </c>
      <c r="B258" t="s">
        <v>1205</v>
      </c>
      <c r="C258" t="s">
        <v>487</v>
      </c>
      <c r="D258" t="str">
        <f>_xlfn.XLOOKUP(C258,'Allow&amp;Disa Exp by Truelayer cat'!$B:$B,'Allow&amp;Disa Exp by Truelayer cat'!$C:$C)</f>
        <v>Allowable</v>
      </c>
      <c r="E258" s="116">
        <f>_xlfn.XLOOKUP(C258,'Allow&amp;Disa Exp by Truelayer cat'!$B:$B,'Allow&amp;Disa Exp by Truelayer cat'!$D:$D)</f>
        <v>0</v>
      </c>
      <c r="F258" t="str">
        <f>_xlfn.XLOOKUP(C258,'Allow&amp;Disa Exp by Truelayer cat'!$B:$B,'Allow&amp;Disa Exp by Truelayer cat'!$E:$E)</f>
        <v>Deduct from expenses</v>
      </c>
    </row>
    <row r="259" spans="1:6" x14ac:dyDescent="0.25">
      <c r="A259" t="s">
        <v>1079</v>
      </c>
      <c r="B259" t="s">
        <v>1206</v>
      </c>
      <c r="C259" t="s">
        <v>487</v>
      </c>
      <c r="D259" t="str">
        <f>_xlfn.XLOOKUP(C259,'Allow&amp;Disa Exp by Truelayer cat'!$B:$B,'Allow&amp;Disa Exp by Truelayer cat'!$C:$C)</f>
        <v>Allowable</v>
      </c>
      <c r="E259" s="116">
        <f>_xlfn.XLOOKUP(C259,'Allow&amp;Disa Exp by Truelayer cat'!$B:$B,'Allow&amp;Disa Exp by Truelayer cat'!$D:$D)</f>
        <v>0</v>
      </c>
      <c r="F259" t="str">
        <f>_xlfn.XLOOKUP(C259,'Allow&amp;Disa Exp by Truelayer cat'!$B:$B,'Allow&amp;Disa Exp by Truelayer cat'!$E:$E)</f>
        <v>Deduct from expenses</v>
      </c>
    </row>
    <row r="260" spans="1:6" x14ac:dyDescent="0.25">
      <c r="A260" t="s">
        <v>1079</v>
      </c>
      <c r="B260" t="s">
        <v>1207</v>
      </c>
      <c r="C260" t="s">
        <v>487</v>
      </c>
      <c r="D260" t="str">
        <f>_xlfn.XLOOKUP(C260,'Allow&amp;Disa Exp by Truelayer cat'!$B:$B,'Allow&amp;Disa Exp by Truelayer cat'!$C:$C)</f>
        <v>Allowable</v>
      </c>
      <c r="E260" s="116">
        <f>_xlfn.XLOOKUP(C260,'Allow&amp;Disa Exp by Truelayer cat'!$B:$B,'Allow&amp;Disa Exp by Truelayer cat'!$D:$D)</f>
        <v>0</v>
      </c>
      <c r="F260" t="str">
        <f>_xlfn.XLOOKUP(C260,'Allow&amp;Disa Exp by Truelayer cat'!$B:$B,'Allow&amp;Disa Exp by Truelayer cat'!$E:$E)</f>
        <v>Deduct from expenses</v>
      </c>
    </row>
    <row r="261" spans="1:6" x14ac:dyDescent="0.25">
      <c r="A261" t="s">
        <v>1079</v>
      </c>
      <c r="B261" t="s">
        <v>1208</v>
      </c>
      <c r="C261" t="s">
        <v>487</v>
      </c>
      <c r="D261" t="str">
        <f>_xlfn.XLOOKUP(C261,'Allow&amp;Disa Exp by Truelayer cat'!$B:$B,'Allow&amp;Disa Exp by Truelayer cat'!$C:$C)</f>
        <v>Allowable</v>
      </c>
      <c r="E261" s="116">
        <f>_xlfn.XLOOKUP(C261,'Allow&amp;Disa Exp by Truelayer cat'!$B:$B,'Allow&amp;Disa Exp by Truelayer cat'!$D:$D)</f>
        <v>0</v>
      </c>
      <c r="F261" t="str">
        <f>_xlfn.XLOOKUP(C261,'Allow&amp;Disa Exp by Truelayer cat'!$B:$B,'Allow&amp;Disa Exp by Truelayer cat'!$E:$E)</f>
        <v>Deduct from expenses</v>
      </c>
    </row>
    <row r="262" spans="1:6" x14ac:dyDescent="0.25">
      <c r="A262" t="s">
        <v>1079</v>
      </c>
      <c r="B262" t="s">
        <v>1209</v>
      </c>
      <c r="C262" t="s">
        <v>487</v>
      </c>
      <c r="D262" t="str">
        <f>_xlfn.XLOOKUP(C262,'Allow&amp;Disa Exp by Truelayer cat'!$B:$B,'Allow&amp;Disa Exp by Truelayer cat'!$C:$C)</f>
        <v>Allowable</v>
      </c>
      <c r="E262" s="116">
        <f>_xlfn.XLOOKUP(C262,'Allow&amp;Disa Exp by Truelayer cat'!$B:$B,'Allow&amp;Disa Exp by Truelayer cat'!$D:$D)</f>
        <v>0</v>
      </c>
      <c r="F262" t="str">
        <f>_xlfn.XLOOKUP(C262,'Allow&amp;Disa Exp by Truelayer cat'!$B:$B,'Allow&amp;Disa Exp by Truelayer cat'!$E:$E)</f>
        <v>Deduct from expenses</v>
      </c>
    </row>
    <row r="263" spans="1:6" x14ac:dyDescent="0.25">
      <c r="A263" t="s">
        <v>1079</v>
      </c>
      <c r="B263" t="s">
        <v>1210</v>
      </c>
      <c r="C263" t="s">
        <v>487</v>
      </c>
      <c r="D263" t="str">
        <f>_xlfn.XLOOKUP(C263,'Allow&amp;Disa Exp by Truelayer cat'!$B:$B,'Allow&amp;Disa Exp by Truelayer cat'!$C:$C)</f>
        <v>Allowable</v>
      </c>
      <c r="E263" s="116">
        <f>_xlfn.XLOOKUP(C263,'Allow&amp;Disa Exp by Truelayer cat'!$B:$B,'Allow&amp;Disa Exp by Truelayer cat'!$D:$D)</f>
        <v>0</v>
      </c>
      <c r="F263" t="str">
        <f>_xlfn.XLOOKUP(C263,'Allow&amp;Disa Exp by Truelayer cat'!$B:$B,'Allow&amp;Disa Exp by Truelayer cat'!$E:$E)</f>
        <v>Deduct from expenses</v>
      </c>
    </row>
    <row r="264" spans="1:6" x14ac:dyDescent="0.25">
      <c r="A264" t="s">
        <v>1079</v>
      </c>
      <c r="B264" t="s">
        <v>1211</v>
      </c>
      <c r="C264" t="s">
        <v>487</v>
      </c>
      <c r="D264" t="str">
        <f>_xlfn.XLOOKUP(C264,'Allow&amp;Disa Exp by Truelayer cat'!$B:$B,'Allow&amp;Disa Exp by Truelayer cat'!$C:$C)</f>
        <v>Allowable</v>
      </c>
      <c r="E264" s="116">
        <f>_xlfn.XLOOKUP(C264,'Allow&amp;Disa Exp by Truelayer cat'!$B:$B,'Allow&amp;Disa Exp by Truelayer cat'!$D:$D)</f>
        <v>0</v>
      </c>
      <c r="F264" t="str">
        <f>_xlfn.XLOOKUP(C264,'Allow&amp;Disa Exp by Truelayer cat'!$B:$B,'Allow&amp;Disa Exp by Truelayer cat'!$E:$E)</f>
        <v>Deduct from expenses</v>
      </c>
    </row>
    <row r="265" spans="1:6" x14ac:dyDescent="0.25">
      <c r="A265" t="s">
        <v>1079</v>
      </c>
      <c r="B265" t="s">
        <v>1212</v>
      </c>
      <c r="C265" t="s">
        <v>487</v>
      </c>
      <c r="D265" t="str">
        <f>_xlfn.XLOOKUP(C265,'Allow&amp;Disa Exp by Truelayer cat'!$B:$B,'Allow&amp;Disa Exp by Truelayer cat'!$C:$C)</f>
        <v>Allowable</v>
      </c>
      <c r="E265" s="116">
        <f>_xlfn.XLOOKUP(C265,'Allow&amp;Disa Exp by Truelayer cat'!$B:$B,'Allow&amp;Disa Exp by Truelayer cat'!$D:$D)</f>
        <v>0</v>
      </c>
      <c r="F265" t="str">
        <f>_xlfn.XLOOKUP(C265,'Allow&amp;Disa Exp by Truelayer cat'!$B:$B,'Allow&amp;Disa Exp by Truelayer cat'!$E:$E)</f>
        <v>Deduct from expenses</v>
      </c>
    </row>
    <row r="266" spans="1:6" x14ac:dyDescent="0.25">
      <c r="A266" t="s">
        <v>1079</v>
      </c>
      <c r="B266" t="s">
        <v>1213</v>
      </c>
      <c r="C266" t="s">
        <v>487</v>
      </c>
      <c r="D266" t="str">
        <f>_xlfn.XLOOKUP(C266,'Allow&amp;Disa Exp by Truelayer cat'!$B:$B,'Allow&amp;Disa Exp by Truelayer cat'!$C:$C)</f>
        <v>Allowable</v>
      </c>
      <c r="E266" s="116">
        <f>_xlfn.XLOOKUP(C266,'Allow&amp;Disa Exp by Truelayer cat'!$B:$B,'Allow&amp;Disa Exp by Truelayer cat'!$D:$D)</f>
        <v>0</v>
      </c>
      <c r="F266" t="str">
        <f>_xlfn.XLOOKUP(C266,'Allow&amp;Disa Exp by Truelayer cat'!$B:$B,'Allow&amp;Disa Exp by Truelayer cat'!$E:$E)</f>
        <v>Deduct from expenses</v>
      </c>
    </row>
    <row r="267" spans="1:6" x14ac:dyDescent="0.25">
      <c r="A267" t="s">
        <v>1079</v>
      </c>
      <c r="B267" t="s">
        <v>1214</v>
      </c>
      <c r="C267" t="s">
        <v>487</v>
      </c>
      <c r="D267" t="str">
        <f>_xlfn.XLOOKUP(C267,'Allow&amp;Disa Exp by Truelayer cat'!$B:$B,'Allow&amp;Disa Exp by Truelayer cat'!$C:$C)</f>
        <v>Allowable</v>
      </c>
      <c r="E267" s="116">
        <f>_xlfn.XLOOKUP(C267,'Allow&amp;Disa Exp by Truelayer cat'!$B:$B,'Allow&amp;Disa Exp by Truelayer cat'!$D:$D)</f>
        <v>0</v>
      </c>
      <c r="F267" t="str">
        <f>_xlfn.XLOOKUP(C267,'Allow&amp;Disa Exp by Truelayer cat'!$B:$B,'Allow&amp;Disa Exp by Truelayer cat'!$E:$E)</f>
        <v>Deduct from expenses</v>
      </c>
    </row>
    <row r="268" spans="1:6" x14ac:dyDescent="0.25">
      <c r="A268" t="s">
        <v>1079</v>
      </c>
      <c r="B268" t="s">
        <v>1215</v>
      </c>
      <c r="C268" t="s">
        <v>487</v>
      </c>
      <c r="D268" t="str">
        <f>_xlfn.XLOOKUP(C268,'Allow&amp;Disa Exp by Truelayer cat'!$B:$B,'Allow&amp;Disa Exp by Truelayer cat'!$C:$C)</f>
        <v>Allowable</v>
      </c>
      <c r="E268" s="116">
        <f>_xlfn.XLOOKUP(C268,'Allow&amp;Disa Exp by Truelayer cat'!$B:$B,'Allow&amp;Disa Exp by Truelayer cat'!$D:$D)</f>
        <v>0</v>
      </c>
      <c r="F268" t="str">
        <f>_xlfn.XLOOKUP(C268,'Allow&amp;Disa Exp by Truelayer cat'!$B:$B,'Allow&amp;Disa Exp by Truelayer cat'!$E:$E)</f>
        <v>Deduct from expenses</v>
      </c>
    </row>
    <row r="269" spans="1:6" x14ac:dyDescent="0.25">
      <c r="A269" t="s">
        <v>1079</v>
      </c>
      <c r="B269" t="s">
        <v>1216</v>
      </c>
      <c r="C269" t="s">
        <v>487</v>
      </c>
      <c r="D269" t="str">
        <f>_xlfn.XLOOKUP(C269,'Allow&amp;Disa Exp by Truelayer cat'!$B:$B,'Allow&amp;Disa Exp by Truelayer cat'!$C:$C)</f>
        <v>Allowable</v>
      </c>
      <c r="E269" s="116">
        <f>_xlfn.XLOOKUP(C269,'Allow&amp;Disa Exp by Truelayer cat'!$B:$B,'Allow&amp;Disa Exp by Truelayer cat'!$D:$D)</f>
        <v>0</v>
      </c>
      <c r="F269" t="str">
        <f>_xlfn.XLOOKUP(C269,'Allow&amp;Disa Exp by Truelayer cat'!$B:$B,'Allow&amp;Disa Exp by Truelayer cat'!$E:$E)</f>
        <v>Deduct from expenses</v>
      </c>
    </row>
    <row r="270" spans="1:6" x14ac:dyDescent="0.25">
      <c r="A270" t="s">
        <v>1079</v>
      </c>
      <c r="B270" t="s">
        <v>1217</v>
      </c>
      <c r="C270" t="s">
        <v>487</v>
      </c>
      <c r="D270" t="str">
        <f>_xlfn.XLOOKUP(C270,'Allow&amp;Disa Exp by Truelayer cat'!$B:$B,'Allow&amp;Disa Exp by Truelayer cat'!$C:$C)</f>
        <v>Allowable</v>
      </c>
      <c r="E270" s="116">
        <f>_xlfn.XLOOKUP(C270,'Allow&amp;Disa Exp by Truelayer cat'!$B:$B,'Allow&amp;Disa Exp by Truelayer cat'!$D:$D)</f>
        <v>0</v>
      </c>
      <c r="F270" t="str">
        <f>_xlfn.XLOOKUP(C270,'Allow&amp;Disa Exp by Truelayer cat'!$B:$B,'Allow&amp;Disa Exp by Truelayer cat'!$E:$E)</f>
        <v>Deduct from expenses</v>
      </c>
    </row>
    <row r="271" spans="1:6" x14ac:dyDescent="0.25">
      <c r="A271" t="s">
        <v>1079</v>
      </c>
      <c r="B271" t="s">
        <v>1218</v>
      </c>
      <c r="C271" t="s">
        <v>487</v>
      </c>
      <c r="D271" t="str">
        <f>_xlfn.XLOOKUP(C271,'Allow&amp;Disa Exp by Truelayer cat'!$B:$B,'Allow&amp;Disa Exp by Truelayer cat'!$C:$C)</f>
        <v>Allowable</v>
      </c>
      <c r="E271" s="116">
        <f>_xlfn.XLOOKUP(C271,'Allow&amp;Disa Exp by Truelayer cat'!$B:$B,'Allow&amp;Disa Exp by Truelayer cat'!$D:$D)</f>
        <v>0</v>
      </c>
      <c r="F271" t="str">
        <f>_xlfn.XLOOKUP(C271,'Allow&amp;Disa Exp by Truelayer cat'!$B:$B,'Allow&amp;Disa Exp by Truelayer cat'!$E:$E)</f>
        <v>Deduct from expenses</v>
      </c>
    </row>
    <row r="272" spans="1:6" x14ac:dyDescent="0.25">
      <c r="A272" t="s">
        <v>1079</v>
      </c>
      <c r="B272" t="s">
        <v>1219</v>
      </c>
      <c r="C272" t="s">
        <v>487</v>
      </c>
      <c r="D272" t="str">
        <f>_xlfn.XLOOKUP(C272,'Allow&amp;Disa Exp by Truelayer cat'!$B:$B,'Allow&amp;Disa Exp by Truelayer cat'!$C:$C)</f>
        <v>Allowable</v>
      </c>
      <c r="E272" s="116">
        <f>_xlfn.XLOOKUP(C272,'Allow&amp;Disa Exp by Truelayer cat'!$B:$B,'Allow&amp;Disa Exp by Truelayer cat'!$D:$D)</f>
        <v>0</v>
      </c>
      <c r="F272" t="str">
        <f>_xlfn.XLOOKUP(C272,'Allow&amp;Disa Exp by Truelayer cat'!$B:$B,'Allow&amp;Disa Exp by Truelayer cat'!$E:$E)</f>
        <v>Deduct from expenses</v>
      </c>
    </row>
    <row r="273" spans="1:6" x14ac:dyDescent="0.25">
      <c r="A273" t="s">
        <v>1079</v>
      </c>
      <c r="B273" t="s">
        <v>1220</v>
      </c>
      <c r="C273" t="s">
        <v>487</v>
      </c>
      <c r="D273" t="str">
        <f>_xlfn.XLOOKUP(C273,'Allow&amp;Disa Exp by Truelayer cat'!$B:$B,'Allow&amp;Disa Exp by Truelayer cat'!$C:$C)</f>
        <v>Allowable</v>
      </c>
      <c r="E273" s="116">
        <f>_xlfn.XLOOKUP(C273,'Allow&amp;Disa Exp by Truelayer cat'!$B:$B,'Allow&amp;Disa Exp by Truelayer cat'!$D:$D)</f>
        <v>0</v>
      </c>
      <c r="F273" t="str">
        <f>_xlfn.XLOOKUP(C273,'Allow&amp;Disa Exp by Truelayer cat'!$B:$B,'Allow&amp;Disa Exp by Truelayer cat'!$E:$E)</f>
        <v>Deduct from expenses</v>
      </c>
    </row>
    <row r="274" spans="1:6" x14ac:dyDescent="0.25">
      <c r="A274" t="s">
        <v>1079</v>
      </c>
      <c r="B274" t="s">
        <v>1221</v>
      </c>
      <c r="C274" t="s">
        <v>487</v>
      </c>
      <c r="D274" t="str">
        <f>_xlfn.XLOOKUP(C274,'Allow&amp;Disa Exp by Truelayer cat'!$B:$B,'Allow&amp;Disa Exp by Truelayer cat'!$C:$C)</f>
        <v>Allowable</v>
      </c>
      <c r="E274" s="116">
        <f>_xlfn.XLOOKUP(C274,'Allow&amp;Disa Exp by Truelayer cat'!$B:$B,'Allow&amp;Disa Exp by Truelayer cat'!$D:$D)</f>
        <v>0</v>
      </c>
      <c r="F274" t="str">
        <f>_xlfn.XLOOKUP(C274,'Allow&amp;Disa Exp by Truelayer cat'!$B:$B,'Allow&amp;Disa Exp by Truelayer cat'!$E:$E)</f>
        <v>Deduct from expenses</v>
      </c>
    </row>
    <row r="275" spans="1:6" x14ac:dyDescent="0.25">
      <c r="A275" t="s">
        <v>1079</v>
      </c>
      <c r="B275" t="s">
        <v>1222</v>
      </c>
      <c r="C275" t="s">
        <v>487</v>
      </c>
      <c r="D275" t="str">
        <f>_xlfn.XLOOKUP(C275,'Allow&amp;Disa Exp by Truelayer cat'!$B:$B,'Allow&amp;Disa Exp by Truelayer cat'!$C:$C)</f>
        <v>Allowable</v>
      </c>
      <c r="E275" s="116">
        <f>_xlfn.XLOOKUP(C275,'Allow&amp;Disa Exp by Truelayer cat'!$B:$B,'Allow&amp;Disa Exp by Truelayer cat'!$D:$D)</f>
        <v>0</v>
      </c>
      <c r="F275" t="str">
        <f>_xlfn.XLOOKUP(C275,'Allow&amp;Disa Exp by Truelayer cat'!$B:$B,'Allow&amp;Disa Exp by Truelayer cat'!$E:$E)</f>
        <v>Deduct from expenses</v>
      </c>
    </row>
    <row r="276" spans="1:6" x14ac:dyDescent="0.25">
      <c r="A276" t="s">
        <v>1079</v>
      </c>
      <c r="B276" t="s">
        <v>1223</v>
      </c>
      <c r="C276" t="s">
        <v>487</v>
      </c>
      <c r="D276" t="str">
        <f>_xlfn.XLOOKUP(C276,'Allow&amp;Disa Exp by Truelayer cat'!$B:$B,'Allow&amp;Disa Exp by Truelayer cat'!$C:$C)</f>
        <v>Allowable</v>
      </c>
      <c r="E276" s="116">
        <f>_xlfn.XLOOKUP(C276,'Allow&amp;Disa Exp by Truelayer cat'!$B:$B,'Allow&amp;Disa Exp by Truelayer cat'!$D:$D)</f>
        <v>0</v>
      </c>
      <c r="F276" t="str">
        <f>_xlfn.XLOOKUP(C276,'Allow&amp;Disa Exp by Truelayer cat'!$B:$B,'Allow&amp;Disa Exp by Truelayer cat'!$E:$E)</f>
        <v>Deduct from expenses</v>
      </c>
    </row>
    <row r="277" spans="1:6" x14ac:dyDescent="0.25">
      <c r="A277" t="s">
        <v>1079</v>
      </c>
      <c r="B277" t="s">
        <v>1224</v>
      </c>
      <c r="C277" t="s">
        <v>487</v>
      </c>
      <c r="D277" t="str">
        <f>_xlfn.XLOOKUP(C277,'Allow&amp;Disa Exp by Truelayer cat'!$B:$B,'Allow&amp;Disa Exp by Truelayer cat'!$C:$C)</f>
        <v>Allowable</v>
      </c>
      <c r="E277" s="116">
        <f>_xlfn.XLOOKUP(C277,'Allow&amp;Disa Exp by Truelayer cat'!$B:$B,'Allow&amp;Disa Exp by Truelayer cat'!$D:$D)</f>
        <v>0</v>
      </c>
      <c r="F277" t="str">
        <f>_xlfn.XLOOKUP(C277,'Allow&amp;Disa Exp by Truelayer cat'!$B:$B,'Allow&amp;Disa Exp by Truelayer cat'!$E:$E)</f>
        <v>Deduct from expenses</v>
      </c>
    </row>
    <row r="278" spans="1:6" x14ac:dyDescent="0.25">
      <c r="A278" t="s">
        <v>1079</v>
      </c>
      <c r="B278" t="s">
        <v>1225</v>
      </c>
      <c r="C278" t="s">
        <v>487</v>
      </c>
      <c r="D278" t="str">
        <f>_xlfn.XLOOKUP(C278,'Allow&amp;Disa Exp by Truelayer cat'!$B:$B,'Allow&amp;Disa Exp by Truelayer cat'!$C:$C)</f>
        <v>Allowable</v>
      </c>
      <c r="E278" s="116">
        <f>_xlfn.XLOOKUP(C278,'Allow&amp;Disa Exp by Truelayer cat'!$B:$B,'Allow&amp;Disa Exp by Truelayer cat'!$D:$D)</f>
        <v>0</v>
      </c>
      <c r="F278" t="str">
        <f>_xlfn.XLOOKUP(C278,'Allow&amp;Disa Exp by Truelayer cat'!$B:$B,'Allow&amp;Disa Exp by Truelayer cat'!$E:$E)</f>
        <v>Deduct from expenses</v>
      </c>
    </row>
    <row r="279" spans="1:6" x14ac:dyDescent="0.25">
      <c r="A279" t="s">
        <v>1079</v>
      </c>
      <c r="B279" t="s">
        <v>1226</v>
      </c>
      <c r="C279" t="s">
        <v>487</v>
      </c>
      <c r="D279" t="str">
        <f>_xlfn.XLOOKUP(C279,'Allow&amp;Disa Exp by Truelayer cat'!$B:$B,'Allow&amp;Disa Exp by Truelayer cat'!$C:$C)</f>
        <v>Allowable</v>
      </c>
      <c r="E279" s="116">
        <f>_xlfn.XLOOKUP(C279,'Allow&amp;Disa Exp by Truelayer cat'!$B:$B,'Allow&amp;Disa Exp by Truelayer cat'!$D:$D)</f>
        <v>0</v>
      </c>
      <c r="F279" t="str">
        <f>_xlfn.XLOOKUP(C279,'Allow&amp;Disa Exp by Truelayer cat'!$B:$B,'Allow&amp;Disa Exp by Truelayer cat'!$E:$E)</f>
        <v>Deduct from expenses</v>
      </c>
    </row>
    <row r="280" spans="1:6" x14ac:dyDescent="0.25">
      <c r="A280" t="s">
        <v>1079</v>
      </c>
      <c r="B280" t="s">
        <v>1227</v>
      </c>
      <c r="C280" t="s">
        <v>487</v>
      </c>
      <c r="D280" t="str">
        <f>_xlfn.XLOOKUP(C280,'Allow&amp;Disa Exp by Truelayer cat'!$B:$B,'Allow&amp;Disa Exp by Truelayer cat'!$C:$C)</f>
        <v>Allowable</v>
      </c>
      <c r="E280" s="116">
        <f>_xlfn.XLOOKUP(C280,'Allow&amp;Disa Exp by Truelayer cat'!$B:$B,'Allow&amp;Disa Exp by Truelayer cat'!$D:$D)</f>
        <v>0</v>
      </c>
      <c r="F280" t="str">
        <f>_xlfn.XLOOKUP(C280,'Allow&amp;Disa Exp by Truelayer cat'!$B:$B,'Allow&amp;Disa Exp by Truelayer cat'!$E:$E)</f>
        <v>Deduct from expenses</v>
      </c>
    </row>
    <row r="281" spans="1:6" x14ac:dyDescent="0.25">
      <c r="A281" t="s">
        <v>1079</v>
      </c>
      <c r="B281" t="s">
        <v>1228</v>
      </c>
      <c r="C281" t="s">
        <v>487</v>
      </c>
      <c r="D281" t="str">
        <f>_xlfn.XLOOKUP(C281,'Allow&amp;Disa Exp by Truelayer cat'!$B:$B,'Allow&amp;Disa Exp by Truelayer cat'!$C:$C)</f>
        <v>Allowable</v>
      </c>
      <c r="E281" s="116">
        <f>_xlfn.XLOOKUP(C281,'Allow&amp;Disa Exp by Truelayer cat'!$B:$B,'Allow&amp;Disa Exp by Truelayer cat'!$D:$D)</f>
        <v>0</v>
      </c>
      <c r="F281" t="str">
        <f>_xlfn.XLOOKUP(C281,'Allow&amp;Disa Exp by Truelayer cat'!$B:$B,'Allow&amp;Disa Exp by Truelayer cat'!$E:$E)</f>
        <v>Deduct from expenses</v>
      </c>
    </row>
    <row r="282" spans="1:6" x14ac:dyDescent="0.25">
      <c r="A282" t="s">
        <v>1079</v>
      </c>
      <c r="B282" t="s">
        <v>1229</v>
      </c>
      <c r="C282" t="s">
        <v>487</v>
      </c>
      <c r="D282" t="str">
        <f>_xlfn.XLOOKUP(C282,'Allow&amp;Disa Exp by Truelayer cat'!$B:$B,'Allow&amp;Disa Exp by Truelayer cat'!$C:$C)</f>
        <v>Allowable</v>
      </c>
      <c r="E282" s="116">
        <f>_xlfn.XLOOKUP(C282,'Allow&amp;Disa Exp by Truelayer cat'!$B:$B,'Allow&amp;Disa Exp by Truelayer cat'!$D:$D)</f>
        <v>0</v>
      </c>
      <c r="F282" t="str">
        <f>_xlfn.XLOOKUP(C282,'Allow&amp;Disa Exp by Truelayer cat'!$B:$B,'Allow&amp;Disa Exp by Truelayer cat'!$E:$E)</f>
        <v>Deduct from expenses</v>
      </c>
    </row>
    <row r="283" spans="1:6" x14ac:dyDescent="0.25">
      <c r="A283" t="s">
        <v>1079</v>
      </c>
      <c r="B283" t="s">
        <v>1230</v>
      </c>
      <c r="C283" t="s">
        <v>487</v>
      </c>
      <c r="D283" t="str">
        <f>_xlfn.XLOOKUP(C283,'Allow&amp;Disa Exp by Truelayer cat'!$B:$B,'Allow&amp;Disa Exp by Truelayer cat'!$C:$C)</f>
        <v>Allowable</v>
      </c>
      <c r="E283" s="116">
        <f>_xlfn.XLOOKUP(C283,'Allow&amp;Disa Exp by Truelayer cat'!$B:$B,'Allow&amp;Disa Exp by Truelayer cat'!$D:$D)</f>
        <v>0</v>
      </c>
      <c r="F283" t="str">
        <f>_xlfn.XLOOKUP(C283,'Allow&amp;Disa Exp by Truelayer cat'!$B:$B,'Allow&amp;Disa Exp by Truelayer cat'!$E:$E)</f>
        <v>Deduct from expenses</v>
      </c>
    </row>
    <row r="284" spans="1:6" x14ac:dyDescent="0.25">
      <c r="A284" t="s">
        <v>1079</v>
      </c>
      <c r="B284" t="s">
        <v>1231</v>
      </c>
      <c r="C284" t="s">
        <v>487</v>
      </c>
      <c r="D284" t="str">
        <f>_xlfn.XLOOKUP(C284,'Allow&amp;Disa Exp by Truelayer cat'!$B:$B,'Allow&amp;Disa Exp by Truelayer cat'!$C:$C)</f>
        <v>Allowable</v>
      </c>
      <c r="E284" s="116">
        <f>_xlfn.XLOOKUP(C284,'Allow&amp;Disa Exp by Truelayer cat'!$B:$B,'Allow&amp;Disa Exp by Truelayer cat'!$D:$D)</f>
        <v>0</v>
      </c>
      <c r="F284" t="str">
        <f>_xlfn.XLOOKUP(C284,'Allow&amp;Disa Exp by Truelayer cat'!$B:$B,'Allow&amp;Disa Exp by Truelayer cat'!$E:$E)</f>
        <v>Deduct from expenses</v>
      </c>
    </row>
    <row r="285" spans="1:6" x14ac:dyDescent="0.25">
      <c r="A285" t="s">
        <v>1079</v>
      </c>
      <c r="B285" t="s">
        <v>1232</v>
      </c>
      <c r="C285" t="s">
        <v>487</v>
      </c>
      <c r="D285" t="str">
        <f>_xlfn.XLOOKUP(C285,'Allow&amp;Disa Exp by Truelayer cat'!$B:$B,'Allow&amp;Disa Exp by Truelayer cat'!$C:$C)</f>
        <v>Allowable</v>
      </c>
      <c r="E285" s="116">
        <f>_xlfn.XLOOKUP(C285,'Allow&amp;Disa Exp by Truelayer cat'!$B:$B,'Allow&amp;Disa Exp by Truelayer cat'!$D:$D)</f>
        <v>0</v>
      </c>
      <c r="F285" t="str">
        <f>_xlfn.XLOOKUP(C285,'Allow&amp;Disa Exp by Truelayer cat'!$B:$B,'Allow&amp;Disa Exp by Truelayer cat'!$E:$E)</f>
        <v>Deduct from expenses</v>
      </c>
    </row>
    <row r="286" spans="1:6" x14ac:dyDescent="0.25">
      <c r="A286" t="s">
        <v>1079</v>
      </c>
      <c r="B286" t="s">
        <v>1233</v>
      </c>
      <c r="C286" t="s">
        <v>487</v>
      </c>
      <c r="D286" t="str">
        <f>_xlfn.XLOOKUP(C286,'Allow&amp;Disa Exp by Truelayer cat'!$B:$B,'Allow&amp;Disa Exp by Truelayer cat'!$C:$C)</f>
        <v>Allowable</v>
      </c>
      <c r="E286" s="116">
        <f>_xlfn.XLOOKUP(C286,'Allow&amp;Disa Exp by Truelayer cat'!$B:$B,'Allow&amp;Disa Exp by Truelayer cat'!$D:$D)</f>
        <v>0</v>
      </c>
      <c r="F286" t="str">
        <f>_xlfn.XLOOKUP(C286,'Allow&amp;Disa Exp by Truelayer cat'!$B:$B,'Allow&amp;Disa Exp by Truelayer cat'!$E:$E)</f>
        <v>Deduct from expenses</v>
      </c>
    </row>
    <row r="287" spans="1:6" x14ac:dyDescent="0.25">
      <c r="A287" t="s">
        <v>1079</v>
      </c>
      <c r="B287" t="s">
        <v>1234</v>
      </c>
      <c r="C287" t="s">
        <v>487</v>
      </c>
      <c r="D287" t="str">
        <f>_xlfn.XLOOKUP(C287,'Allow&amp;Disa Exp by Truelayer cat'!$B:$B,'Allow&amp;Disa Exp by Truelayer cat'!$C:$C)</f>
        <v>Allowable</v>
      </c>
      <c r="E287" s="116">
        <f>_xlfn.XLOOKUP(C287,'Allow&amp;Disa Exp by Truelayer cat'!$B:$B,'Allow&amp;Disa Exp by Truelayer cat'!$D:$D)</f>
        <v>0</v>
      </c>
      <c r="F287" t="str">
        <f>_xlfn.XLOOKUP(C287,'Allow&amp;Disa Exp by Truelayer cat'!$B:$B,'Allow&amp;Disa Exp by Truelayer cat'!$E:$E)</f>
        <v>Deduct from expenses</v>
      </c>
    </row>
    <row r="288" spans="1:6" x14ac:dyDescent="0.25">
      <c r="A288" t="s">
        <v>1079</v>
      </c>
      <c r="B288" t="s">
        <v>1235</v>
      </c>
      <c r="C288" t="s">
        <v>487</v>
      </c>
      <c r="D288" t="str">
        <f>_xlfn.XLOOKUP(C288,'Allow&amp;Disa Exp by Truelayer cat'!$B:$B,'Allow&amp;Disa Exp by Truelayer cat'!$C:$C)</f>
        <v>Allowable</v>
      </c>
      <c r="E288" s="116">
        <f>_xlfn.XLOOKUP(C288,'Allow&amp;Disa Exp by Truelayer cat'!$B:$B,'Allow&amp;Disa Exp by Truelayer cat'!$D:$D)</f>
        <v>0</v>
      </c>
      <c r="F288" t="str">
        <f>_xlfn.XLOOKUP(C288,'Allow&amp;Disa Exp by Truelayer cat'!$B:$B,'Allow&amp;Disa Exp by Truelayer cat'!$E:$E)</f>
        <v>Deduct from expenses</v>
      </c>
    </row>
    <row r="289" spans="1:6" x14ac:dyDescent="0.25">
      <c r="A289" t="s">
        <v>1079</v>
      </c>
      <c r="B289" t="s">
        <v>1236</v>
      </c>
      <c r="C289" t="s">
        <v>487</v>
      </c>
      <c r="D289" t="str">
        <f>_xlfn.XLOOKUP(C289,'Allow&amp;Disa Exp by Truelayer cat'!$B:$B,'Allow&amp;Disa Exp by Truelayer cat'!$C:$C)</f>
        <v>Allowable</v>
      </c>
      <c r="E289" s="116">
        <f>_xlfn.XLOOKUP(C289,'Allow&amp;Disa Exp by Truelayer cat'!$B:$B,'Allow&amp;Disa Exp by Truelayer cat'!$D:$D)</f>
        <v>0</v>
      </c>
      <c r="F289" t="str">
        <f>_xlfn.XLOOKUP(C289,'Allow&amp;Disa Exp by Truelayer cat'!$B:$B,'Allow&amp;Disa Exp by Truelayer cat'!$E:$E)</f>
        <v>Deduct from expenses</v>
      </c>
    </row>
    <row r="290" spans="1:6" x14ac:dyDescent="0.25">
      <c r="A290" t="s">
        <v>1079</v>
      </c>
      <c r="B290" t="s">
        <v>1237</v>
      </c>
      <c r="C290" t="s">
        <v>487</v>
      </c>
      <c r="D290" t="str">
        <f>_xlfn.XLOOKUP(C290,'Allow&amp;Disa Exp by Truelayer cat'!$B:$B,'Allow&amp;Disa Exp by Truelayer cat'!$C:$C)</f>
        <v>Allowable</v>
      </c>
      <c r="E290" s="116">
        <f>_xlfn.XLOOKUP(C290,'Allow&amp;Disa Exp by Truelayer cat'!$B:$B,'Allow&amp;Disa Exp by Truelayer cat'!$D:$D)</f>
        <v>0</v>
      </c>
      <c r="F290" t="str">
        <f>_xlfn.XLOOKUP(C290,'Allow&amp;Disa Exp by Truelayer cat'!$B:$B,'Allow&amp;Disa Exp by Truelayer cat'!$E:$E)</f>
        <v>Deduct from expenses</v>
      </c>
    </row>
    <row r="291" spans="1:6" x14ac:dyDescent="0.25">
      <c r="A291" t="s">
        <v>1079</v>
      </c>
      <c r="B291" t="s">
        <v>1238</v>
      </c>
      <c r="C291" t="s">
        <v>487</v>
      </c>
      <c r="D291" t="str">
        <f>_xlfn.XLOOKUP(C291,'Allow&amp;Disa Exp by Truelayer cat'!$B:$B,'Allow&amp;Disa Exp by Truelayer cat'!$C:$C)</f>
        <v>Allowable</v>
      </c>
      <c r="E291" s="116">
        <f>_xlfn.XLOOKUP(C291,'Allow&amp;Disa Exp by Truelayer cat'!$B:$B,'Allow&amp;Disa Exp by Truelayer cat'!$D:$D)</f>
        <v>0</v>
      </c>
      <c r="F291" t="str">
        <f>_xlfn.XLOOKUP(C291,'Allow&amp;Disa Exp by Truelayer cat'!$B:$B,'Allow&amp;Disa Exp by Truelayer cat'!$E:$E)</f>
        <v>Deduct from expenses</v>
      </c>
    </row>
    <row r="292" spans="1:6" x14ac:dyDescent="0.25">
      <c r="A292" t="s">
        <v>1079</v>
      </c>
      <c r="B292" t="s">
        <v>1239</v>
      </c>
      <c r="C292" t="s">
        <v>487</v>
      </c>
      <c r="D292" t="str">
        <f>_xlfn.XLOOKUP(C292,'Allow&amp;Disa Exp by Truelayer cat'!$B:$B,'Allow&amp;Disa Exp by Truelayer cat'!$C:$C)</f>
        <v>Allowable</v>
      </c>
      <c r="E292" s="116">
        <f>_xlfn.XLOOKUP(C292,'Allow&amp;Disa Exp by Truelayer cat'!$B:$B,'Allow&amp;Disa Exp by Truelayer cat'!$D:$D)</f>
        <v>0</v>
      </c>
      <c r="F292" t="str">
        <f>_xlfn.XLOOKUP(C292,'Allow&amp;Disa Exp by Truelayer cat'!$B:$B,'Allow&amp;Disa Exp by Truelayer cat'!$E:$E)</f>
        <v>Deduct from expenses</v>
      </c>
    </row>
    <row r="293" spans="1:6" x14ac:dyDescent="0.25">
      <c r="A293" t="s">
        <v>1079</v>
      </c>
      <c r="B293" t="s">
        <v>1240</v>
      </c>
      <c r="C293" t="s">
        <v>487</v>
      </c>
      <c r="D293" t="str">
        <f>_xlfn.XLOOKUP(C293,'Allow&amp;Disa Exp by Truelayer cat'!$B:$B,'Allow&amp;Disa Exp by Truelayer cat'!$C:$C)</f>
        <v>Allowable</v>
      </c>
      <c r="E293" s="116">
        <f>_xlfn.XLOOKUP(C293,'Allow&amp;Disa Exp by Truelayer cat'!$B:$B,'Allow&amp;Disa Exp by Truelayer cat'!$D:$D)</f>
        <v>0</v>
      </c>
      <c r="F293" t="str">
        <f>_xlfn.XLOOKUP(C293,'Allow&amp;Disa Exp by Truelayer cat'!$B:$B,'Allow&amp;Disa Exp by Truelayer cat'!$E:$E)</f>
        <v>Deduct from expenses</v>
      </c>
    </row>
    <row r="294" spans="1:6" x14ac:dyDescent="0.25">
      <c r="A294" t="s">
        <v>1079</v>
      </c>
      <c r="B294" t="s">
        <v>1241</v>
      </c>
      <c r="C294" t="s">
        <v>487</v>
      </c>
      <c r="D294" t="str">
        <f>_xlfn.XLOOKUP(C294,'Allow&amp;Disa Exp by Truelayer cat'!$B:$B,'Allow&amp;Disa Exp by Truelayer cat'!$C:$C)</f>
        <v>Allowable</v>
      </c>
      <c r="E294" s="116">
        <f>_xlfn.XLOOKUP(C294,'Allow&amp;Disa Exp by Truelayer cat'!$B:$B,'Allow&amp;Disa Exp by Truelayer cat'!$D:$D)</f>
        <v>0</v>
      </c>
      <c r="F294" t="str">
        <f>_xlfn.XLOOKUP(C294,'Allow&amp;Disa Exp by Truelayer cat'!$B:$B,'Allow&amp;Disa Exp by Truelayer cat'!$E:$E)</f>
        <v>Deduct from expenses</v>
      </c>
    </row>
    <row r="295" spans="1:6" x14ac:dyDescent="0.25">
      <c r="A295" t="s">
        <v>1079</v>
      </c>
      <c r="B295" t="s">
        <v>1242</v>
      </c>
      <c r="C295" t="s">
        <v>487</v>
      </c>
      <c r="D295" t="str">
        <f>_xlfn.XLOOKUP(C295,'Allow&amp;Disa Exp by Truelayer cat'!$B:$B,'Allow&amp;Disa Exp by Truelayer cat'!$C:$C)</f>
        <v>Allowable</v>
      </c>
      <c r="E295" s="116">
        <f>_xlfn.XLOOKUP(C295,'Allow&amp;Disa Exp by Truelayer cat'!$B:$B,'Allow&amp;Disa Exp by Truelayer cat'!$D:$D)</f>
        <v>0</v>
      </c>
      <c r="F295" t="str">
        <f>_xlfn.XLOOKUP(C295,'Allow&amp;Disa Exp by Truelayer cat'!$B:$B,'Allow&amp;Disa Exp by Truelayer cat'!$E:$E)</f>
        <v>Deduct from expenses</v>
      </c>
    </row>
    <row r="296" spans="1:6" x14ac:dyDescent="0.25">
      <c r="A296" t="s">
        <v>1079</v>
      </c>
      <c r="B296" t="s">
        <v>1243</v>
      </c>
      <c r="C296" t="s">
        <v>487</v>
      </c>
      <c r="D296" t="str">
        <f>_xlfn.XLOOKUP(C296,'Allow&amp;Disa Exp by Truelayer cat'!$B:$B,'Allow&amp;Disa Exp by Truelayer cat'!$C:$C)</f>
        <v>Allowable</v>
      </c>
      <c r="E296" s="116">
        <f>_xlfn.XLOOKUP(C296,'Allow&amp;Disa Exp by Truelayer cat'!$B:$B,'Allow&amp;Disa Exp by Truelayer cat'!$D:$D)</f>
        <v>0</v>
      </c>
      <c r="F296" t="str">
        <f>_xlfn.XLOOKUP(C296,'Allow&amp;Disa Exp by Truelayer cat'!$B:$B,'Allow&amp;Disa Exp by Truelayer cat'!$E:$E)</f>
        <v>Deduct from expenses</v>
      </c>
    </row>
    <row r="297" spans="1:6" x14ac:dyDescent="0.25">
      <c r="A297" t="s">
        <v>1079</v>
      </c>
      <c r="B297" t="s">
        <v>1244</v>
      </c>
      <c r="C297" t="s">
        <v>487</v>
      </c>
      <c r="D297" t="str">
        <f>_xlfn.XLOOKUP(C297,'Allow&amp;Disa Exp by Truelayer cat'!$B:$B,'Allow&amp;Disa Exp by Truelayer cat'!$C:$C)</f>
        <v>Allowable</v>
      </c>
      <c r="E297" s="116">
        <f>_xlfn.XLOOKUP(C297,'Allow&amp;Disa Exp by Truelayer cat'!$B:$B,'Allow&amp;Disa Exp by Truelayer cat'!$D:$D)</f>
        <v>0</v>
      </c>
      <c r="F297" t="str">
        <f>_xlfn.XLOOKUP(C297,'Allow&amp;Disa Exp by Truelayer cat'!$B:$B,'Allow&amp;Disa Exp by Truelayer cat'!$E:$E)</f>
        <v>Deduct from expenses</v>
      </c>
    </row>
    <row r="298" spans="1:6" x14ac:dyDescent="0.25">
      <c r="A298" t="s">
        <v>1079</v>
      </c>
      <c r="B298" t="s">
        <v>1245</v>
      </c>
      <c r="C298" t="s">
        <v>487</v>
      </c>
      <c r="D298" t="str">
        <f>_xlfn.XLOOKUP(C298,'Allow&amp;Disa Exp by Truelayer cat'!$B:$B,'Allow&amp;Disa Exp by Truelayer cat'!$C:$C)</f>
        <v>Allowable</v>
      </c>
      <c r="E298" s="116">
        <f>_xlfn.XLOOKUP(C298,'Allow&amp;Disa Exp by Truelayer cat'!$B:$B,'Allow&amp;Disa Exp by Truelayer cat'!$D:$D)</f>
        <v>0</v>
      </c>
      <c r="F298" t="str">
        <f>_xlfn.XLOOKUP(C298,'Allow&amp;Disa Exp by Truelayer cat'!$B:$B,'Allow&amp;Disa Exp by Truelayer cat'!$E:$E)</f>
        <v>Deduct from expenses</v>
      </c>
    </row>
    <row r="299" spans="1:6" x14ac:dyDescent="0.25">
      <c r="A299" t="s">
        <v>1079</v>
      </c>
      <c r="B299" t="s">
        <v>1246</v>
      </c>
      <c r="C299" t="s">
        <v>487</v>
      </c>
      <c r="D299" t="str">
        <f>_xlfn.XLOOKUP(C299,'Allow&amp;Disa Exp by Truelayer cat'!$B:$B,'Allow&amp;Disa Exp by Truelayer cat'!$C:$C)</f>
        <v>Allowable</v>
      </c>
      <c r="E299" s="116">
        <f>_xlfn.XLOOKUP(C299,'Allow&amp;Disa Exp by Truelayer cat'!$B:$B,'Allow&amp;Disa Exp by Truelayer cat'!$D:$D)</f>
        <v>0</v>
      </c>
      <c r="F299" t="str">
        <f>_xlfn.XLOOKUP(C299,'Allow&amp;Disa Exp by Truelayer cat'!$B:$B,'Allow&amp;Disa Exp by Truelayer cat'!$E:$E)</f>
        <v>Deduct from expenses</v>
      </c>
    </row>
    <row r="300" spans="1:6" x14ac:dyDescent="0.25">
      <c r="A300" t="s">
        <v>1079</v>
      </c>
      <c r="B300" t="s">
        <v>1247</v>
      </c>
      <c r="C300" t="s">
        <v>487</v>
      </c>
      <c r="D300" t="str">
        <f>_xlfn.XLOOKUP(C300,'Allow&amp;Disa Exp by Truelayer cat'!$B:$B,'Allow&amp;Disa Exp by Truelayer cat'!$C:$C)</f>
        <v>Allowable</v>
      </c>
      <c r="E300" s="116">
        <f>_xlfn.XLOOKUP(C300,'Allow&amp;Disa Exp by Truelayer cat'!$B:$B,'Allow&amp;Disa Exp by Truelayer cat'!$D:$D)</f>
        <v>0</v>
      </c>
      <c r="F300" t="str">
        <f>_xlfn.XLOOKUP(C300,'Allow&amp;Disa Exp by Truelayer cat'!$B:$B,'Allow&amp;Disa Exp by Truelayer cat'!$E:$E)</f>
        <v>Deduct from expenses</v>
      </c>
    </row>
    <row r="301" spans="1:6" x14ac:dyDescent="0.25">
      <c r="A301" t="s">
        <v>1079</v>
      </c>
      <c r="B301" t="s">
        <v>1248</v>
      </c>
      <c r="C301" t="s">
        <v>487</v>
      </c>
      <c r="D301" t="str">
        <f>_xlfn.XLOOKUP(C301,'Allow&amp;Disa Exp by Truelayer cat'!$B:$B,'Allow&amp;Disa Exp by Truelayer cat'!$C:$C)</f>
        <v>Allowable</v>
      </c>
      <c r="E301" s="116">
        <f>_xlfn.XLOOKUP(C301,'Allow&amp;Disa Exp by Truelayer cat'!$B:$B,'Allow&amp;Disa Exp by Truelayer cat'!$D:$D)</f>
        <v>0</v>
      </c>
      <c r="F301" t="str">
        <f>_xlfn.XLOOKUP(C301,'Allow&amp;Disa Exp by Truelayer cat'!$B:$B,'Allow&amp;Disa Exp by Truelayer cat'!$E:$E)</f>
        <v>Deduct from expenses</v>
      </c>
    </row>
    <row r="302" spans="1:6" x14ac:dyDescent="0.25">
      <c r="A302" t="s">
        <v>1079</v>
      </c>
      <c r="B302" t="s">
        <v>1249</v>
      </c>
      <c r="C302" t="s">
        <v>487</v>
      </c>
      <c r="D302" t="str">
        <f>_xlfn.XLOOKUP(C302,'Allow&amp;Disa Exp by Truelayer cat'!$B:$B,'Allow&amp;Disa Exp by Truelayer cat'!$C:$C)</f>
        <v>Allowable</v>
      </c>
      <c r="E302" s="116">
        <f>_xlfn.XLOOKUP(C302,'Allow&amp;Disa Exp by Truelayer cat'!$B:$B,'Allow&amp;Disa Exp by Truelayer cat'!$D:$D)</f>
        <v>0</v>
      </c>
      <c r="F302" t="str">
        <f>_xlfn.XLOOKUP(C302,'Allow&amp;Disa Exp by Truelayer cat'!$B:$B,'Allow&amp;Disa Exp by Truelayer cat'!$E:$E)</f>
        <v>Deduct from expenses</v>
      </c>
    </row>
    <row r="303" spans="1:6" x14ac:dyDescent="0.25">
      <c r="A303" t="s">
        <v>1079</v>
      </c>
      <c r="B303" t="s">
        <v>1250</v>
      </c>
      <c r="C303" t="s">
        <v>487</v>
      </c>
      <c r="D303" t="str">
        <f>_xlfn.XLOOKUP(C303,'Allow&amp;Disa Exp by Truelayer cat'!$B:$B,'Allow&amp;Disa Exp by Truelayer cat'!$C:$C)</f>
        <v>Allowable</v>
      </c>
      <c r="E303" s="116">
        <f>_xlfn.XLOOKUP(C303,'Allow&amp;Disa Exp by Truelayer cat'!$B:$B,'Allow&amp;Disa Exp by Truelayer cat'!$D:$D)</f>
        <v>0</v>
      </c>
      <c r="F303" t="str">
        <f>_xlfn.XLOOKUP(C303,'Allow&amp;Disa Exp by Truelayer cat'!$B:$B,'Allow&amp;Disa Exp by Truelayer cat'!$E:$E)</f>
        <v>Deduct from expenses</v>
      </c>
    </row>
    <row r="304" spans="1:6" x14ac:dyDescent="0.25">
      <c r="A304" t="s">
        <v>1079</v>
      </c>
      <c r="B304" t="s">
        <v>1251</v>
      </c>
      <c r="C304" t="s">
        <v>487</v>
      </c>
      <c r="D304" t="str">
        <f>_xlfn.XLOOKUP(C304,'Allow&amp;Disa Exp by Truelayer cat'!$B:$B,'Allow&amp;Disa Exp by Truelayer cat'!$C:$C)</f>
        <v>Allowable</v>
      </c>
      <c r="E304" s="116">
        <f>_xlfn.XLOOKUP(C304,'Allow&amp;Disa Exp by Truelayer cat'!$B:$B,'Allow&amp;Disa Exp by Truelayer cat'!$D:$D)</f>
        <v>0</v>
      </c>
      <c r="F304" t="str">
        <f>_xlfn.XLOOKUP(C304,'Allow&amp;Disa Exp by Truelayer cat'!$B:$B,'Allow&amp;Disa Exp by Truelayer cat'!$E:$E)</f>
        <v>Deduct from expenses</v>
      </c>
    </row>
    <row r="305" spans="1:6" x14ac:dyDescent="0.25">
      <c r="A305" t="s">
        <v>1079</v>
      </c>
      <c r="B305" t="s">
        <v>1252</v>
      </c>
      <c r="C305" t="s">
        <v>487</v>
      </c>
      <c r="D305" t="str">
        <f>_xlfn.XLOOKUP(C305,'Allow&amp;Disa Exp by Truelayer cat'!$B:$B,'Allow&amp;Disa Exp by Truelayer cat'!$C:$C)</f>
        <v>Allowable</v>
      </c>
      <c r="E305" s="116">
        <f>_xlfn.XLOOKUP(C305,'Allow&amp;Disa Exp by Truelayer cat'!$B:$B,'Allow&amp;Disa Exp by Truelayer cat'!$D:$D)</f>
        <v>0</v>
      </c>
      <c r="F305" t="str">
        <f>_xlfn.XLOOKUP(C305,'Allow&amp;Disa Exp by Truelayer cat'!$B:$B,'Allow&amp;Disa Exp by Truelayer cat'!$E:$E)</f>
        <v>Deduct from expenses</v>
      </c>
    </row>
    <row r="306" spans="1:6" x14ac:dyDescent="0.25">
      <c r="A306" t="s">
        <v>1079</v>
      </c>
      <c r="B306" t="s">
        <v>1253</v>
      </c>
      <c r="C306" t="s">
        <v>487</v>
      </c>
      <c r="D306" t="str">
        <f>_xlfn.XLOOKUP(C306,'Allow&amp;Disa Exp by Truelayer cat'!$B:$B,'Allow&amp;Disa Exp by Truelayer cat'!$C:$C)</f>
        <v>Allowable</v>
      </c>
      <c r="E306" s="116">
        <f>_xlfn.XLOOKUP(C306,'Allow&amp;Disa Exp by Truelayer cat'!$B:$B,'Allow&amp;Disa Exp by Truelayer cat'!$D:$D)</f>
        <v>0</v>
      </c>
      <c r="F306" t="str">
        <f>_xlfn.XLOOKUP(C306,'Allow&amp;Disa Exp by Truelayer cat'!$B:$B,'Allow&amp;Disa Exp by Truelayer cat'!$E:$E)</f>
        <v>Deduct from expenses</v>
      </c>
    </row>
    <row r="307" spans="1:6" x14ac:dyDescent="0.25">
      <c r="A307" t="s">
        <v>1079</v>
      </c>
      <c r="B307" t="s">
        <v>1254</v>
      </c>
      <c r="C307" t="s">
        <v>487</v>
      </c>
      <c r="D307" t="str">
        <f>_xlfn.XLOOKUP(C307,'Allow&amp;Disa Exp by Truelayer cat'!$B:$B,'Allow&amp;Disa Exp by Truelayer cat'!$C:$C)</f>
        <v>Allowable</v>
      </c>
      <c r="E307" s="116">
        <f>_xlfn.XLOOKUP(C307,'Allow&amp;Disa Exp by Truelayer cat'!$B:$B,'Allow&amp;Disa Exp by Truelayer cat'!$D:$D)</f>
        <v>0</v>
      </c>
      <c r="F307" t="str">
        <f>_xlfn.XLOOKUP(C307,'Allow&amp;Disa Exp by Truelayer cat'!$B:$B,'Allow&amp;Disa Exp by Truelayer cat'!$E:$E)</f>
        <v>Deduct from expenses</v>
      </c>
    </row>
    <row r="308" spans="1:6" x14ac:dyDescent="0.25">
      <c r="A308" t="s">
        <v>1079</v>
      </c>
      <c r="B308" t="s">
        <v>1255</v>
      </c>
      <c r="C308" t="s">
        <v>487</v>
      </c>
      <c r="D308" t="str">
        <f>_xlfn.XLOOKUP(C308,'Allow&amp;Disa Exp by Truelayer cat'!$B:$B,'Allow&amp;Disa Exp by Truelayer cat'!$C:$C)</f>
        <v>Allowable</v>
      </c>
      <c r="E308" s="116">
        <f>_xlfn.XLOOKUP(C308,'Allow&amp;Disa Exp by Truelayer cat'!$B:$B,'Allow&amp;Disa Exp by Truelayer cat'!$D:$D)</f>
        <v>0</v>
      </c>
      <c r="F308" t="str">
        <f>_xlfn.XLOOKUP(C308,'Allow&amp;Disa Exp by Truelayer cat'!$B:$B,'Allow&amp;Disa Exp by Truelayer cat'!$E:$E)</f>
        <v>Deduct from expenses</v>
      </c>
    </row>
    <row r="309" spans="1:6" x14ac:dyDescent="0.25">
      <c r="A309" t="s">
        <v>1079</v>
      </c>
      <c r="B309" t="s">
        <v>1256</v>
      </c>
      <c r="C309" t="s">
        <v>487</v>
      </c>
      <c r="D309" t="str">
        <f>_xlfn.XLOOKUP(C309,'Allow&amp;Disa Exp by Truelayer cat'!$B:$B,'Allow&amp;Disa Exp by Truelayer cat'!$C:$C)</f>
        <v>Allowable</v>
      </c>
      <c r="E309" s="116">
        <f>_xlfn.XLOOKUP(C309,'Allow&amp;Disa Exp by Truelayer cat'!$B:$B,'Allow&amp;Disa Exp by Truelayer cat'!$D:$D)</f>
        <v>0</v>
      </c>
      <c r="F309" t="str">
        <f>_xlfn.XLOOKUP(C309,'Allow&amp;Disa Exp by Truelayer cat'!$B:$B,'Allow&amp;Disa Exp by Truelayer cat'!$E:$E)</f>
        <v>Deduct from expenses</v>
      </c>
    </row>
    <row r="310" spans="1:6" x14ac:dyDescent="0.25">
      <c r="A310" t="s">
        <v>1079</v>
      </c>
      <c r="B310" t="s">
        <v>1257</v>
      </c>
      <c r="C310" t="s">
        <v>487</v>
      </c>
      <c r="D310" t="str">
        <f>_xlfn.XLOOKUP(C310,'Allow&amp;Disa Exp by Truelayer cat'!$B:$B,'Allow&amp;Disa Exp by Truelayer cat'!$C:$C)</f>
        <v>Allowable</v>
      </c>
      <c r="E310" s="116">
        <f>_xlfn.XLOOKUP(C310,'Allow&amp;Disa Exp by Truelayer cat'!$B:$B,'Allow&amp;Disa Exp by Truelayer cat'!$D:$D)</f>
        <v>0</v>
      </c>
      <c r="F310" t="str">
        <f>_xlfn.XLOOKUP(C310,'Allow&amp;Disa Exp by Truelayer cat'!$B:$B,'Allow&amp;Disa Exp by Truelayer cat'!$E:$E)</f>
        <v>Deduct from expenses</v>
      </c>
    </row>
    <row r="311" spans="1:6" x14ac:dyDescent="0.25">
      <c r="A311" t="s">
        <v>1079</v>
      </c>
      <c r="B311" t="s">
        <v>1258</v>
      </c>
      <c r="C311" t="s">
        <v>487</v>
      </c>
      <c r="D311" t="str">
        <f>_xlfn.XLOOKUP(C311,'Allow&amp;Disa Exp by Truelayer cat'!$B:$B,'Allow&amp;Disa Exp by Truelayer cat'!$C:$C)</f>
        <v>Allowable</v>
      </c>
      <c r="E311" s="116">
        <f>_xlfn.XLOOKUP(C311,'Allow&amp;Disa Exp by Truelayer cat'!$B:$B,'Allow&amp;Disa Exp by Truelayer cat'!$D:$D)</f>
        <v>0</v>
      </c>
      <c r="F311" t="str">
        <f>_xlfn.XLOOKUP(C311,'Allow&amp;Disa Exp by Truelayer cat'!$B:$B,'Allow&amp;Disa Exp by Truelayer cat'!$E:$E)</f>
        <v>Deduct from expenses</v>
      </c>
    </row>
    <row r="312" spans="1:6" x14ac:dyDescent="0.25">
      <c r="A312" t="s">
        <v>1079</v>
      </c>
      <c r="B312" t="s">
        <v>1259</v>
      </c>
      <c r="C312" t="s">
        <v>487</v>
      </c>
      <c r="D312" t="str">
        <f>_xlfn.XLOOKUP(C312,'Allow&amp;Disa Exp by Truelayer cat'!$B:$B,'Allow&amp;Disa Exp by Truelayer cat'!$C:$C)</f>
        <v>Allowable</v>
      </c>
      <c r="E312" s="116">
        <f>_xlfn.XLOOKUP(C312,'Allow&amp;Disa Exp by Truelayer cat'!$B:$B,'Allow&amp;Disa Exp by Truelayer cat'!$D:$D)</f>
        <v>0</v>
      </c>
      <c r="F312" t="str">
        <f>_xlfn.XLOOKUP(C312,'Allow&amp;Disa Exp by Truelayer cat'!$B:$B,'Allow&amp;Disa Exp by Truelayer cat'!$E:$E)</f>
        <v>Deduct from expenses</v>
      </c>
    </row>
    <row r="313" spans="1:6" x14ac:dyDescent="0.25">
      <c r="A313" t="s">
        <v>1079</v>
      </c>
      <c r="B313" t="s">
        <v>1260</v>
      </c>
      <c r="C313" t="s">
        <v>487</v>
      </c>
      <c r="D313" t="str">
        <f>_xlfn.XLOOKUP(C313,'Allow&amp;Disa Exp by Truelayer cat'!$B:$B,'Allow&amp;Disa Exp by Truelayer cat'!$C:$C)</f>
        <v>Allowable</v>
      </c>
      <c r="E313" s="116">
        <f>_xlfn.XLOOKUP(C313,'Allow&amp;Disa Exp by Truelayer cat'!$B:$B,'Allow&amp;Disa Exp by Truelayer cat'!$D:$D)</f>
        <v>0</v>
      </c>
      <c r="F313" t="str">
        <f>_xlfn.XLOOKUP(C313,'Allow&amp;Disa Exp by Truelayer cat'!$B:$B,'Allow&amp;Disa Exp by Truelayer cat'!$E:$E)</f>
        <v>Deduct from expenses</v>
      </c>
    </row>
    <row r="314" spans="1:6" x14ac:dyDescent="0.25">
      <c r="A314" t="s">
        <v>1079</v>
      </c>
      <c r="B314" t="s">
        <v>1261</v>
      </c>
      <c r="C314" t="s">
        <v>487</v>
      </c>
      <c r="D314" t="str">
        <f>_xlfn.XLOOKUP(C314,'Allow&amp;Disa Exp by Truelayer cat'!$B:$B,'Allow&amp;Disa Exp by Truelayer cat'!$C:$C)</f>
        <v>Allowable</v>
      </c>
      <c r="E314" s="116">
        <f>_xlfn.XLOOKUP(C314,'Allow&amp;Disa Exp by Truelayer cat'!$B:$B,'Allow&amp;Disa Exp by Truelayer cat'!$D:$D)</f>
        <v>0</v>
      </c>
      <c r="F314" t="str">
        <f>_xlfn.XLOOKUP(C314,'Allow&amp;Disa Exp by Truelayer cat'!$B:$B,'Allow&amp;Disa Exp by Truelayer cat'!$E:$E)</f>
        <v>Deduct from expenses</v>
      </c>
    </row>
    <row r="315" spans="1:6" x14ac:dyDescent="0.25">
      <c r="A315" t="s">
        <v>1079</v>
      </c>
      <c r="B315" t="s">
        <v>1262</v>
      </c>
      <c r="C315" t="s">
        <v>487</v>
      </c>
      <c r="D315" t="str">
        <f>_xlfn.XLOOKUP(C315,'Allow&amp;Disa Exp by Truelayer cat'!$B:$B,'Allow&amp;Disa Exp by Truelayer cat'!$C:$C)</f>
        <v>Allowable</v>
      </c>
      <c r="E315" s="116">
        <f>_xlfn.XLOOKUP(C315,'Allow&amp;Disa Exp by Truelayer cat'!$B:$B,'Allow&amp;Disa Exp by Truelayer cat'!$D:$D)</f>
        <v>0</v>
      </c>
      <c r="F315" t="str">
        <f>_xlfn.XLOOKUP(C315,'Allow&amp;Disa Exp by Truelayer cat'!$B:$B,'Allow&amp;Disa Exp by Truelayer cat'!$E:$E)</f>
        <v>Deduct from expenses</v>
      </c>
    </row>
    <row r="316" spans="1:6" x14ac:dyDescent="0.25">
      <c r="A316" t="s">
        <v>1079</v>
      </c>
      <c r="B316" t="s">
        <v>1263</v>
      </c>
      <c r="C316" t="s">
        <v>487</v>
      </c>
      <c r="D316" t="str">
        <f>_xlfn.XLOOKUP(C316,'Allow&amp;Disa Exp by Truelayer cat'!$B:$B,'Allow&amp;Disa Exp by Truelayer cat'!$C:$C)</f>
        <v>Allowable</v>
      </c>
      <c r="E316" s="116">
        <f>_xlfn.XLOOKUP(C316,'Allow&amp;Disa Exp by Truelayer cat'!$B:$B,'Allow&amp;Disa Exp by Truelayer cat'!$D:$D)</f>
        <v>0</v>
      </c>
      <c r="F316" t="str">
        <f>_xlfn.XLOOKUP(C316,'Allow&amp;Disa Exp by Truelayer cat'!$B:$B,'Allow&amp;Disa Exp by Truelayer cat'!$E:$E)</f>
        <v>Deduct from expenses</v>
      </c>
    </row>
    <row r="317" spans="1:6" x14ac:dyDescent="0.25">
      <c r="A317" t="s">
        <v>1079</v>
      </c>
      <c r="B317" t="s">
        <v>1264</v>
      </c>
      <c r="C317" t="s">
        <v>487</v>
      </c>
      <c r="D317" t="str">
        <f>_xlfn.XLOOKUP(C317,'Allow&amp;Disa Exp by Truelayer cat'!$B:$B,'Allow&amp;Disa Exp by Truelayer cat'!$C:$C)</f>
        <v>Allowable</v>
      </c>
      <c r="E317" s="116">
        <f>_xlfn.XLOOKUP(C317,'Allow&amp;Disa Exp by Truelayer cat'!$B:$B,'Allow&amp;Disa Exp by Truelayer cat'!$D:$D)</f>
        <v>0</v>
      </c>
      <c r="F317" t="str">
        <f>_xlfn.XLOOKUP(C317,'Allow&amp;Disa Exp by Truelayer cat'!$B:$B,'Allow&amp;Disa Exp by Truelayer cat'!$E:$E)</f>
        <v>Deduct from expenses</v>
      </c>
    </row>
    <row r="318" spans="1:6" x14ac:dyDescent="0.25">
      <c r="A318" t="s">
        <v>1079</v>
      </c>
      <c r="B318" t="s">
        <v>1265</v>
      </c>
      <c r="C318" t="s">
        <v>487</v>
      </c>
      <c r="D318" t="str">
        <f>_xlfn.XLOOKUP(C318,'Allow&amp;Disa Exp by Truelayer cat'!$B:$B,'Allow&amp;Disa Exp by Truelayer cat'!$C:$C)</f>
        <v>Allowable</v>
      </c>
      <c r="E318" s="116">
        <f>_xlfn.XLOOKUP(C318,'Allow&amp;Disa Exp by Truelayer cat'!$B:$B,'Allow&amp;Disa Exp by Truelayer cat'!$D:$D)</f>
        <v>0</v>
      </c>
      <c r="F318" t="str">
        <f>_xlfn.XLOOKUP(C318,'Allow&amp;Disa Exp by Truelayer cat'!$B:$B,'Allow&amp;Disa Exp by Truelayer cat'!$E:$E)</f>
        <v>Deduct from expenses</v>
      </c>
    </row>
    <row r="319" spans="1:6" x14ac:dyDescent="0.25">
      <c r="A319" t="s">
        <v>1079</v>
      </c>
      <c r="B319" t="s">
        <v>1266</v>
      </c>
      <c r="C319" t="s">
        <v>487</v>
      </c>
      <c r="D319" t="str">
        <f>_xlfn.XLOOKUP(C319,'Allow&amp;Disa Exp by Truelayer cat'!$B:$B,'Allow&amp;Disa Exp by Truelayer cat'!$C:$C)</f>
        <v>Allowable</v>
      </c>
      <c r="E319" s="116">
        <f>_xlfn.XLOOKUP(C319,'Allow&amp;Disa Exp by Truelayer cat'!$B:$B,'Allow&amp;Disa Exp by Truelayer cat'!$D:$D)</f>
        <v>0</v>
      </c>
      <c r="F319" t="str">
        <f>_xlfn.XLOOKUP(C319,'Allow&amp;Disa Exp by Truelayer cat'!$B:$B,'Allow&amp;Disa Exp by Truelayer cat'!$E:$E)</f>
        <v>Deduct from expenses</v>
      </c>
    </row>
    <row r="320" spans="1:6" x14ac:dyDescent="0.25">
      <c r="A320" t="s">
        <v>1079</v>
      </c>
      <c r="B320" t="s">
        <v>1267</v>
      </c>
      <c r="C320" t="s">
        <v>487</v>
      </c>
      <c r="D320" t="str">
        <f>_xlfn.XLOOKUP(C320,'Allow&amp;Disa Exp by Truelayer cat'!$B:$B,'Allow&amp;Disa Exp by Truelayer cat'!$C:$C)</f>
        <v>Allowable</v>
      </c>
      <c r="E320" s="116">
        <f>_xlfn.XLOOKUP(C320,'Allow&amp;Disa Exp by Truelayer cat'!$B:$B,'Allow&amp;Disa Exp by Truelayer cat'!$D:$D)</f>
        <v>0</v>
      </c>
      <c r="F320" t="str">
        <f>_xlfn.XLOOKUP(C320,'Allow&amp;Disa Exp by Truelayer cat'!$B:$B,'Allow&amp;Disa Exp by Truelayer cat'!$E:$E)</f>
        <v>Deduct from expenses</v>
      </c>
    </row>
    <row r="321" spans="1:6" x14ac:dyDescent="0.25">
      <c r="A321" t="s">
        <v>1079</v>
      </c>
      <c r="B321" t="s">
        <v>1268</v>
      </c>
      <c r="C321" t="s">
        <v>487</v>
      </c>
      <c r="D321" t="str">
        <f>_xlfn.XLOOKUP(C321,'Allow&amp;Disa Exp by Truelayer cat'!$B:$B,'Allow&amp;Disa Exp by Truelayer cat'!$C:$C)</f>
        <v>Allowable</v>
      </c>
      <c r="E321" s="116">
        <f>_xlfn.XLOOKUP(C321,'Allow&amp;Disa Exp by Truelayer cat'!$B:$B,'Allow&amp;Disa Exp by Truelayer cat'!$D:$D)</f>
        <v>0</v>
      </c>
      <c r="F321" t="str">
        <f>_xlfn.XLOOKUP(C321,'Allow&amp;Disa Exp by Truelayer cat'!$B:$B,'Allow&amp;Disa Exp by Truelayer cat'!$E:$E)</f>
        <v>Deduct from expenses</v>
      </c>
    </row>
    <row r="322" spans="1:6" x14ac:dyDescent="0.25">
      <c r="A322" t="s">
        <v>1079</v>
      </c>
      <c r="B322" t="s">
        <v>1269</v>
      </c>
      <c r="C322" t="s">
        <v>487</v>
      </c>
      <c r="D322" t="str">
        <f>_xlfn.XLOOKUP(C322,'Allow&amp;Disa Exp by Truelayer cat'!$B:$B,'Allow&amp;Disa Exp by Truelayer cat'!$C:$C)</f>
        <v>Allowable</v>
      </c>
      <c r="E322" s="116">
        <f>_xlfn.XLOOKUP(C322,'Allow&amp;Disa Exp by Truelayer cat'!$B:$B,'Allow&amp;Disa Exp by Truelayer cat'!$D:$D)</f>
        <v>0</v>
      </c>
      <c r="F322" t="str">
        <f>_xlfn.XLOOKUP(C322,'Allow&amp;Disa Exp by Truelayer cat'!$B:$B,'Allow&amp;Disa Exp by Truelayer cat'!$E:$E)</f>
        <v>Deduct from expenses</v>
      </c>
    </row>
    <row r="323" spans="1:6" x14ac:dyDescent="0.25">
      <c r="A323" t="s">
        <v>1079</v>
      </c>
      <c r="B323" t="s">
        <v>1270</v>
      </c>
      <c r="C323" t="s">
        <v>487</v>
      </c>
      <c r="D323" t="str">
        <f>_xlfn.XLOOKUP(C323,'Allow&amp;Disa Exp by Truelayer cat'!$B:$B,'Allow&amp;Disa Exp by Truelayer cat'!$C:$C)</f>
        <v>Allowable</v>
      </c>
      <c r="E323" s="116">
        <f>_xlfn.XLOOKUP(C323,'Allow&amp;Disa Exp by Truelayer cat'!$B:$B,'Allow&amp;Disa Exp by Truelayer cat'!$D:$D)</f>
        <v>0</v>
      </c>
      <c r="F323" t="str">
        <f>_xlfn.XLOOKUP(C323,'Allow&amp;Disa Exp by Truelayer cat'!$B:$B,'Allow&amp;Disa Exp by Truelayer cat'!$E:$E)</f>
        <v>Deduct from expenses</v>
      </c>
    </row>
    <row r="324" spans="1:6" x14ac:dyDescent="0.25">
      <c r="A324" t="s">
        <v>1079</v>
      </c>
      <c r="B324" t="s">
        <v>1271</v>
      </c>
      <c r="C324" t="s">
        <v>487</v>
      </c>
      <c r="D324" t="str">
        <f>_xlfn.XLOOKUP(C324,'Allow&amp;Disa Exp by Truelayer cat'!$B:$B,'Allow&amp;Disa Exp by Truelayer cat'!$C:$C)</f>
        <v>Allowable</v>
      </c>
      <c r="E324" s="116">
        <f>_xlfn.XLOOKUP(C324,'Allow&amp;Disa Exp by Truelayer cat'!$B:$B,'Allow&amp;Disa Exp by Truelayer cat'!$D:$D)</f>
        <v>0</v>
      </c>
      <c r="F324" t="str">
        <f>_xlfn.XLOOKUP(C324,'Allow&amp;Disa Exp by Truelayer cat'!$B:$B,'Allow&amp;Disa Exp by Truelayer cat'!$E:$E)</f>
        <v>Deduct from expenses</v>
      </c>
    </row>
    <row r="325" spans="1:6" x14ac:dyDescent="0.25">
      <c r="A325" t="s">
        <v>1079</v>
      </c>
      <c r="B325" t="s">
        <v>1272</v>
      </c>
      <c r="C325" t="s">
        <v>487</v>
      </c>
      <c r="D325" t="str">
        <f>_xlfn.XLOOKUP(C325,'Allow&amp;Disa Exp by Truelayer cat'!$B:$B,'Allow&amp;Disa Exp by Truelayer cat'!$C:$C)</f>
        <v>Allowable</v>
      </c>
      <c r="E325" s="116">
        <f>_xlfn.XLOOKUP(C325,'Allow&amp;Disa Exp by Truelayer cat'!$B:$B,'Allow&amp;Disa Exp by Truelayer cat'!$D:$D)</f>
        <v>0</v>
      </c>
      <c r="F325" t="str">
        <f>_xlfn.XLOOKUP(C325,'Allow&amp;Disa Exp by Truelayer cat'!$B:$B,'Allow&amp;Disa Exp by Truelayer cat'!$E:$E)</f>
        <v>Deduct from expenses</v>
      </c>
    </row>
    <row r="326" spans="1:6" x14ac:dyDescent="0.25">
      <c r="A326" t="s">
        <v>1079</v>
      </c>
      <c r="B326" t="s">
        <v>1273</v>
      </c>
      <c r="C326" t="s">
        <v>487</v>
      </c>
      <c r="D326" t="str">
        <f>_xlfn.XLOOKUP(C326,'Allow&amp;Disa Exp by Truelayer cat'!$B:$B,'Allow&amp;Disa Exp by Truelayer cat'!$C:$C)</f>
        <v>Allowable</v>
      </c>
      <c r="E326" s="116">
        <f>_xlfn.XLOOKUP(C326,'Allow&amp;Disa Exp by Truelayer cat'!$B:$B,'Allow&amp;Disa Exp by Truelayer cat'!$D:$D)</f>
        <v>0</v>
      </c>
      <c r="F326" t="str">
        <f>_xlfn.XLOOKUP(C326,'Allow&amp;Disa Exp by Truelayer cat'!$B:$B,'Allow&amp;Disa Exp by Truelayer cat'!$E:$E)</f>
        <v>Deduct from expenses</v>
      </c>
    </row>
    <row r="327" spans="1:6" x14ac:dyDescent="0.25">
      <c r="A327" t="s">
        <v>1079</v>
      </c>
      <c r="B327" t="s">
        <v>1274</v>
      </c>
      <c r="C327" t="s">
        <v>487</v>
      </c>
      <c r="D327" t="str">
        <f>_xlfn.XLOOKUP(C327,'Allow&amp;Disa Exp by Truelayer cat'!$B:$B,'Allow&amp;Disa Exp by Truelayer cat'!$C:$C)</f>
        <v>Allowable</v>
      </c>
      <c r="E327" s="116">
        <f>_xlfn.XLOOKUP(C327,'Allow&amp;Disa Exp by Truelayer cat'!$B:$B,'Allow&amp;Disa Exp by Truelayer cat'!$D:$D)</f>
        <v>0</v>
      </c>
      <c r="F327" t="str">
        <f>_xlfn.XLOOKUP(C327,'Allow&amp;Disa Exp by Truelayer cat'!$B:$B,'Allow&amp;Disa Exp by Truelayer cat'!$E:$E)</f>
        <v>Deduct from expenses</v>
      </c>
    </row>
    <row r="328" spans="1:6" x14ac:dyDescent="0.25">
      <c r="A328" t="s">
        <v>1079</v>
      </c>
      <c r="B328" t="s">
        <v>1275</v>
      </c>
      <c r="C328" t="s">
        <v>487</v>
      </c>
      <c r="D328" t="str">
        <f>_xlfn.XLOOKUP(C328,'Allow&amp;Disa Exp by Truelayer cat'!$B:$B,'Allow&amp;Disa Exp by Truelayer cat'!$C:$C)</f>
        <v>Allowable</v>
      </c>
      <c r="E328" s="116">
        <f>_xlfn.XLOOKUP(C328,'Allow&amp;Disa Exp by Truelayer cat'!$B:$B,'Allow&amp;Disa Exp by Truelayer cat'!$D:$D)</f>
        <v>0</v>
      </c>
      <c r="F328" t="str">
        <f>_xlfn.XLOOKUP(C328,'Allow&amp;Disa Exp by Truelayer cat'!$B:$B,'Allow&amp;Disa Exp by Truelayer cat'!$E:$E)</f>
        <v>Deduct from expenses</v>
      </c>
    </row>
    <row r="329" spans="1:6" x14ac:dyDescent="0.25">
      <c r="A329" t="s">
        <v>1079</v>
      </c>
      <c r="B329" t="s">
        <v>1276</v>
      </c>
      <c r="C329" t="s">
        <v>487</v>
      </c>
      <c r="D329" t="str">
        <f>_xlfn.XLOOKUP(C329,'Allow&amp;Disa Exp by Truelayer cat'!$B:$B,'Allow&amp;Disa Exp by Truelayer cat'!$C:$C)</f>
        <v>Allowable</v>
      </c>
      <c r="E329" s="116">
        <f>_xlfn.XLOOKUP(C329,'Allow&amp;Disa Exp by Truelayer cat'!$B:$B,'Allow&amp;Disa Exp by Truelayer cat'!$D:$D)</f>
        <v>0</v>
      </c>
      <c r="F329" t="str">
        <f>_xlfn.XLOOKUP(C329,'Allow&amp;Disa Exp by Truelayer cat'!$B:$B,'Allow&amp;Disa Exp by Truelayer cat'!$E:$E)</f>
        <v>Deduct from expenses</v>
      </c>
    </row>
    <row r="330" spans="1:6" x14ac:dyDescent="0.25">
      <c r="A330" t="s">
        <v>1079</v>
      </c>
      <c r="B330" t="s">
        <v>1277</v>
      </c>
      <c r="C330" t="s">
        <v>487</v>
      </c>
      <c r="D330" t="str">
        <f>_xlfn.XLOOKUP(C330,'Allow&amp;Disa Exp by Truelayer cat'!$B:$B,'Allow&amp;Disa Exp by Truelayer cat'!$C:$C)</f>
        <v>Allowable</v>
      </c>
      <c r="E330" s="116">
        <f>_xlfn.XLOOKUP(C330,'Allow&amp;Disa Exp by Truelayer cat'!$B:$B,'Allow&amp;Disa Exp by Truelayer cat'!$D:$D)</f>
        <v>0</v>
      </c>
      <c r="F330" t="str">
        <f>_xlfn.XLOOKUP(C330,'Allow&amp;Disa Exp by Truelayer cat'!$B:$B,'Allow&amp;Disa Exp by Truelayer cat'!$E:$E)</f>
        <v>Deduct from expenses</v>
      </c>
    </row>
    <row r="331" spans="1:6" x14ac:dyDescent="0.25">
      <c r="A331" t="s">
        <v>1079</v>
      </c>
      <c r="B331" t="s">
        <v>1278</v>
      </c>
      <c r="C331" t="s">
        <v>487</v>
      </c>
      <c r="D331" t="str">
        <f>_xlfn.XLOOKUP(C331,'Allow&amp;Disa Exp by Truelayer cat'!$B:$B,'Allow&amp;Disa Exp by Truelayer cat'!$C:$C)</f>
        <v>Allowable</v>
      </c>
      <c r="E331" s="116">
        <f>_xlfn.XLOOKUP(C331,'Allow&amp;Disa Exp by Truelayer cat'!$B:$B,'Allow&amp;Disa Exp by Truelayer cat'!$D:$D)</f>
        <v>0</v>
      </c>
      <c r="F331" t="str">
        <f>_xlfn.XLOOKUP(C331,'Allow&amp;Disa Exp by Truelayer cat'!$B:$B,'Allow&amp;Disa Exp by Truelayer cat'!$E:$E)</f>
        <v>Deduct from expenses</v>
      </c>
    </row>
    <row r="332" spans="1:6" x14ac:dyDescent="0.25">
      <c r="A332" t="s">
        <v>1079</v>
      </c>
      <c r="B332" t="s">
        <v>1279</v>
      </c>
      <c r="C332" t="s">
        <v>487</v>
      </c>
      <c r="D332" t="str">
        <f>_xlfn.XLOOKUP(C332,'Allow&amp;Disa Exp by Truelayer cat'!$B:$B,'Allow&amp;Disa Exp by Truelayer cat'!$C:$C)</f>
        <v>Allowable</v>
      </c>
      <c r="E332" s="116">
        <f>_xlfn.XLOOKUP(C332,'Allow&amp;Disa Exp by Truelayer cat'!$B:$B,'Allow&amp;Disa Exp by Truelayer cat'!$D:$D)</f>
        <v>0</v>
      </c>
      <c r="F332" t="str">
        <f>_xlfn.XLOOKUP(C332,'Allow&amp;Disa Exp by Truelayer cat'!$B:$B,'Allow&amp;Disa Exp by Truelayer cat'!$E:$E)</f>
        <v>Deduct from expenses</v>
      </c>
    </row>
    <row r="333" spans="1:6" x14ac:dyDescent="0.25">
      <c r="A333" t="s">
        <v>1079</v>
      </c>
      <c r="B333" t="s">
        <v>1280</v>
      </c>
      <c r="C333" t="s">
        <v>487</v>
      </c>
      <c r="D333" t="str">
        <f>_xlfn.XLOOKUP(C333,'Allow&amp;Disa Exp by Truelayer cat'!$B:$B,'Allow&amp;Disa Exp by Truelayer cat'!$C:$C)</f>
        <v>Allowable</v>
      </c>
      <c r="E333" s="116">
        <f>_xlfn.XLOOKUP(C333,'Allow&amp;Disa Exp by Truelayer cat'!$B:$B,'Allow&amp;Disa Exp by Truelayer cat'!$D:$D)</f>
        <v>0</v>
      </c>
      <c r="F333" t="str">
        <f>_xlfn.XLOOKUP(C333,'Allow&amp;Disa Exp by Truelayer cat'!$B:$B,'Allow&amp;Disa Exp by Truelayer cat'!$E:$E)</f>
        <v>Deduct from expenses</v>
      </c>
    </row>
    <row r="334" spans="1:6" x14ac:dyDescent="0.25">
      <c r="A334" t="s">
        <v>1079</v>
      </c>
      <c r="B334" t="s">
        <v>1281</v>
      </c>
      <c r="C334" t="s">
        <v>487</v>
      </c>
      <c r="D334" t="str">
        <f>_xlfn.XLOOKUP(C334,'Allow&amp;Disa Exp by Truelayer cat'!$B:$B,'Allow&amp;Disa Exp by Truelayer cat'!$C:$C)</f>
        <v>Allowable</v>
      </c>
      <c r="E334" s="116">
        <f>_xlfn.XLOOKUP(C334,'Allow&amp;Disa Exp by Truelayer cat'!$B:$B,'Allow&amp;Disa Exp by Truelayer cat'!$D:$D)</f>
        <v>0</v>
      </c>
      <c r="F334" t="str">
        <f>_xlfn.XLOOKUP(C334,'Allow&amp;Disa Exp by Truelayer cat'!$B:$B,'Allow&amp;Disa Exp by Truelayer cat'!$E:$E)</f>
        <v>Deduct from expenses</v>
      </c>
    </row>
    <row r="335" spans="1:6" x14ac:dyDescent="0.25">
      <c r="A335" t="s">
        <v>1079</v>
      </c>
      <c r="B335" t="s">
        <v>1282</v>
      </c>
      <c r="C335" t="s">
        <v>487</v>
      </c>
      <c r="D335" t="str">
        <f>_xlfn.XLOOKUP(C335,'Allow&amp;Disa Exp by Truelayer cat'!$B:$B,'Allow&amp;Disa Exp by Truelayer cat'!$C:$C)</f>
        <v>Allowable</v>
      </c>
      <c r="E335" s="116">
        <f>_xlfn.XLOOKUP(C335,'Allow&amp;Disa Exp by Truelayer cat'!$B:$B,'Allow&amp;Disa Exp by Truelayer cat'!$D:$D)</f>
        <v>0</v>
      </c>
      <c r="F335" t="str">
        <f>_xlfn.XLOOKUP(C335,'Allow&amp;Disa Exp by Truelayer cat'!$B:$B,'Allow&amp;Disa Exp by Truelayer cat'!$E:$E)</f>
        <v>Deduct from expenses</v>
      </c>
    </row>
    <row r="336" spans="1:6" x14ac:dyDescent="0.25">
      <c r="A336" t="s">
        <v>1079</v>
      </c>
      <c r="B336" t="s">
        <v>1283</v>
      </c>
      <c r="C336" t="s">
        <v>487</v>
      </c>
      <c r="D336" t="str">
        <f>_xlfn.XLOOKUP(C336,'Allow&amp;Disa Exp by Truelayer cat'!$B:$B,'Allow&amp;Disa Exp by Truelayer cat'!$C:$C)</f>
        <v>Allowable</v>
      </c>
      <c r="E336" s="116">
        <f>_xlfn.XLOOKUP(C336,'Allow&amp;Disa Exp by Truelayer cat'!$B:$B,'Allow&amp;Disa Exp by Truelayer cat'!$D:$D)</f>
        <v>0</v>
      </c>
      <c r="F336" t="str">
        <f>_xlfn.XLOOKUP(C336,'Allow&amp;Disa Exp by Truelayer cat'!$B:$B,'Allow&amp;Disa Exp by Truelayer cat'!$E:$E)</f>
        <v>Deduct from expenses</v>
      </c>
    </row>
    <row r="337" spans="1:6" x14ac:dyDescent="0.25">
      <c r="A337" t="s">
        <v>1079</v>
      </c>
      <c r="B337" t="s">
        <v>1284</v>
      </c>
      <c r="C337" t="s">
        <v>487</v>
      </c>
      <c r="D337" t="str">
        <f>_xlfn.XLOOKUP(C337,'Allow&amp;Disa Exp by Truelayer cat'!$B:$B,'Allow&amp;Disa Exp by Truelayer cat'!$C:$C)</f>
        <v>Allowable</v>
      </c>
      <c r="E337" s="116">
        <f>_xlfn.XLOOKUP(C337,'Allow&amp;Disa Exp by Truelayer cat'!$B:$B,'Allow&amp;Disa Exp by Truelayer cat'!$D:$D)</f>
        <v>0</v>
      </c>
      <c r="F337" t="str">
        <f>_xlfn.XLOOKUP(C337,'Allow&amp;Disa Exp by Truelayer cat'!$B:$B,'Allow&amp;Disa Exp by Truelayer cat'!$E:$E)</f>
        <v>Deduct from expenses</v>
      </c>
    </row>
    <row r="338" spans="1:6" x14ac:dyDescent="0.25">
      <c r="A338" t="s">
        <v>1079</v>
      </c>
      <c r="B338" t="s">
        <v>1285</v>
      </c>
      <c r="C338" t="s">
        <v>487</v>
      </c>
      <c r="D338" t="str">
        <f>_xlfn.XLOOKUP(C338,'Allow&amp;Disa Exp by Truelayer cat'!$B:$B,'Allow&amp;Disa Exp by Truelayer cat'!$C:$C)</f>
        <v>Allowable</v>
      </c>
      <c r="E338" s="116">
        <f>_xlfn.XLOOKUP(C338,'Allow&amp;Disa Exp by Truelayer cat'!$B:$B,'Allow&amp;Disa Exp by Truelayer cat'!$D:$D)</f>
        <v>0</v>
      </c>
      <c r="F338" t="str">
        <f>_xlfn.XLOOKUP(C338,'Allow&amp;Disa Exp by Truelayer cat'!$B:$B,'Allow&amp;Disa Exp by Truelayer cat'!$E:$E)</f>
        <v>Deduct from expenses</v>
      </c>
    </row>
    <row r="339" spans="1:6" x14ac:dyDescent="0.25">
      <c r="A339" t="s">
        <v>1079</v>
      </c>
      <c r="B339" t="s">
        <v>1286</v>
      </c>
      <c r="C339" t="s">
        <v>487</v>
      </c>
      <c r="D339" t="str">
        <f>_xlfn.XLOOKUP(C339,'Allow&amp;Disa Exp by Truelayer cat'!$B:$B,'Allow&amp;Disa Exp by Truelayer cat'!$C:$C)</f>
        <v>Allowable</v>
      </c>
      <c r="E339" s="116">
        <f>_xlfn.XLOOKUP(C339,'Allow&amp;Disa Exp by Truelayer cat'!$B:$B,'Allow&amp;Disa Exp by Truelayer cat'!$D:$D)</f>
        <v>0</v>
      </c>
      <c r="F339" t="str">
        <f>_xlfn.XLOOKUP(C339,'Allow&amp;Disa Exp by Truelayer cat'!$B:$B,'Allow&amp;Disa Exp by Truelayer cat'!$E:$E)</f>
        <v>Deduct from expenses</v>
      </c>
    </row>
    <row r="340" spans="1:6" x14ac:dyDescent="0.25">
      <c r="A340" t="s">
        <v>1079</v>
      </c>
      <c r="B340" t="s">
        <v>1287</v>
      </c>
      <c r="C340" t="s">
        <v>487</v>
      </c>
      <c r="D340" t="str">
        <f>_xlfn.XLOOKUP(C340,'Allow&amp;Disa Exp by Truelayer cat'!$B:$B,'Allow&amp;Disa Exp by Truelayer cat'!$C:$C)</f>
        <v>Allowable</v>
      </c>
      <c r="E340" s="116">
        <f>_xlfn.XLOOKUP(C340,'Allow&amp;Disa Exp by Truelayer cat'!$B:$B,'Allow&amp;Disa Exp by Truelayer cat'!$D:$D)</f>
        <v>0</v>
      </c>
      <c r="F340" t="str">
        <f>_xlfn.XLOOKUP(C340,'Allow&amp;Disa Exp by Truelayer cat'!$B:$B,'Allow&amp;Disa Exp by Truelayer cat'!$E:$E)</f>
        <v>Deduct from expenses</v>
      </c>
    </row>
    <row r="341" spans="1:6" x14ac:dyDescent="0.25">
      <c r="A341" t="s">
        <v>1079</v>
      </c>
      <c r="B341" t="s">
        <v>1288</v>
      </c>
      <c r="C341" t="s">
        <v>487</v>
      </c>
      <c r="D341" t="str">
        <f>_xlfn.XLOOKUP(C341,'Allow&amp;Disa Exp by Truelayer cat'!$B:$B,'Allow&amp;Disa Exp by Truelayer cat'!$C:$C)</f>
        <v>Allowable</v>
      </c>
      <c r="E341" s="116">
        <f>_xlfn.XLOOKUP(C341,'Allow&amp;Disa Exp by Truelayer cat'!$B:$B,'Allow&amp;Disa Exp by Truelayer cat'!$D:$D)</f>
        <v>0</v>
      </c>
      <c r="F341" t="str">
        <f>_xlfn.XLOOKUP(C341,'Allow&amp;Disa Exp by Truelayer cat'!$B:$B,'Allow&amp;Disa Exp by Truelayer cat'!$E:$E)</f>
        <v>Deduct from expenses</v>
      </c>
    </row>
    <row r="342" spans="1:6" x14ac:dyDescent="0.25">
      <c r="A342" t="s">
        <v>1079</v>
      </c>
      <c r="B342" t="s">
        <v>1289</v>
      </c>
      <c r="C342" t="s">
        <v>487</v>
      </c>
      <c r="D342" t="str">
        <f>_xlfn.XLOOKUP(C342,'Allow&amp;Disa Exp by Truelayer cat'!$B:$B,'Allow&amp;Disa Exp by Truelayer cat'!$C:$C)</f>
        <v>Allowable</v>
      </c>
      <c r="E342" s="116">
        <f>_xlfn.XLOOKUP(C342,'Allow&amp;Disa Exp by Truelayer cat'!$B:$B,'Allow&amp;Disa Exp by Truelayer cat'!$D:$D)</f>
        <v>0</v>
      </c>
      <c r="F342" t="str">
        <f>_xlfn.XLOOKUP(C342,'Allow&amp;Disa Exp by Truelayer cat'!$B:$B,'Allow&amp;Disa Exp by Truelayer cat'!$E:$E)</f>
        <v>Deduct from expenses</v>
      </c>
    </row>
    <row r="343" spans="1:6" x14ac:dyDescent="0.25">
      <c r="A343" t="s">
        <v>1079</v>
      </c>
      <c r="B343" t="s">
        <v>1290</v>
      </c>
      <c r="C343" t="s">
        <v>487</v>
      </c>
      <c r="D343" t="str">
        <f>_xlfn.XLOOKUP(C343,'Allow&amp;Disa Exp by Truelayer cat'!$B:$B,'Allow&amp;Disa Exp by Truelayer cat'!$C:$C)</f>
        <v>Allowable</v>
      </c>
      <c r="E343" s="116">
        <f>_xlfn.XLOOKUP(C343,'Allow&amp;Disa Exp by Truelayer cat'!$B:$B,'Allow&amp;Disa Exp by Truelayer cat'!$D:$D)</f>
        <v>0</v>
      </c>
      <c r="F343" t="str">
        <f>_xlfn.XLOOKUP(C343,'Allow&amp;Disa Exp by Truelayer cat'!$B:$B,'Allow&amp;Disa Exp by Truelayer cat'!$E:$E)</f>
        <v>Deduct from expenses</v>
      </c>
    </row>
    <row r="344" spans="1:6" x14ac:dyDescent="0.25">
      <c r="A344" t="s">
        <v>1079</v>
      </c>
      <c r="B344" t="s">
        <v>1291</v>
      </c>
      <c r="C344" t="s">
        <v>487</v>
      </c>
      <c r="D344" t="str">
        <f>_xlfn.XLOOKUP(C344,'Allow&amp;Disa Exp by Truelayer cat'!$B:$B,'Allow&amp;Disa Exp by Truelayer cat'!$C:$C)</f>
        <v>Allowable</v>
      </c>
      <c r="E344" s="116">
        <f>_xlfn.XLOOKUP(C344,'Allow&amp;Disa Exp by Truelayer cat'!$B:$B,'Allow&amp;Disa Exp by Truelayer cat'!$D:$D)</f>
        <v>0</v>
      </c>
      <c r="F344" t="str">
        <f>_xlfn.XLOOKUP(C344,'Allow&amp;Disa Exp by Truelayer cat'!$B:$B,'Allow&amp;Disa Exp by Truelayer cat'!$E:$E)</f>
        <v>Deduct from expenses</v>
      </c>
    </row>
    <row r="345" spans="1:6" x14ac:dyDescent="0.25">
      <c r="A345" t="s">
        <v>1079</v>
      </c>
      <c r="B345" t="s">
        <v>1292</v>
      </c>
      <c r="C345" t="s">
        <v>487</v>
      </c>
      <c r="D345" t="str">
        <f>_xlfn.XLOOKUP(C345,'Allow&amp;Disa Exp by Truelayer cat'!$B:$B,'Allow&amp;Disa Exp by Truelayer cat'!$C:$C)</f>
        <v>Allowable</v>
      </c>
      <c r="E345" s="116">
        <f>_xlfn.XLOOKUP(C345,'Allow&amp;Disa Exp by Truelayer cat'!$B:$B,'Allow&amp;Disa Exp by Truelayer cat'!$D:$D)</f>
        <v>0</v>
      </c>
      <c r="F345" t="str">
        <f>_xlfn.XLOOKUP(C345,'Allow&amp;Disa Exp by Truelayer cat'!$B:$B,'Allow&amp;Disa Exp by Truelayer cat'!$E:$E)</f>
        <v>Deduct from expenses</v>
      </c>
    </row>
    <row r="346" spans="1:6" x14ac:dyDescent="0.25">
      <c r="A346" t="s">
        <v>1079</v>
      </c>
      <c r="B346" t="s">
        <v>1293</v>
      </c>
      <c r="C346" t="s">
        <v>487</v>
      </c>
      <c r="D346" t="str">
        <f>_xlfn.XLOOKUP(C346,'Allow&amp;Disa Exp by Truelayer cat'!$B:$B,'Allow&amp;Disa Exp by Truelayer cat'!$C:$C)</f>
        <v>Allowable</v>
      </c>
      <c r="E346" s="116">
        <f>_xlfn.XLOOKUP(C346,'Allow&amp;Disa Exp by Truelayer cat'!$B:$B,'Allow&amp;Disa Exp by Truelayer cat'!$D:$D)</f>
        <v>0</v>
      </c>
      <c r="F346" t="str">
        <f>_xlfn.XLOOKUP(C346,'Allow&amp;Disa Exp by Truelayer cat'!$B:$B,'Allow&amp;Disa Exp by Truelayer cat'!$E:$E)</f>
        <v>Deduct from expenses</v>
      </c>
    </row>
    <row r="347" spans="1:6" x14ac:dyDescent="0.25">
      <c r="A347" t="s">
        <v>1079</v>
      </c>
      <c r="B347" t="s">
        <v>1294</v>
      </c>
      <c r="C347" t="s">
        <v>487</v>
      </c>
      <c r="D347" t="str">
        <f>_xlfn.XLOOKUP(C347,'Allow&amp;Disa Exp by Truelayer cat'!$B:$B,'Allow&amp;Disa Exp by Truelayer cat'!$C:$C)</f>
        <v>Allowable</v>
      </c>
      <c r="E347" s="116">
        <f>_xlfn.XLOOKUP(C347,'Allow&amp;Disa Exp by Truelayer cat'!$B:$B,'Allow&amp;Disa Exp by Truelayer cat'!$D:$D)</f>
        <v>0</v>
      </c>
      <c r="F347" t="str">
        <f>_xlfn.XLOOKUP(C347,'Allow&amp;Disa Exp by Truelayer cat'!$B:$B,'Allow&amp;Disa Exp by Truelayer cat'!$E:$E)</f>
        <v>Deduct from expenses</v>
      </c>
    </row>
    <row r="348" spans="1:6" x14ac:dyDescent="0.25">
      <c r="A348" t="s">
        <v>1079</v>
      </c>
      <c r="B348" t="s">
        <v>1295</v>
      </c>
      <c r="C348" t="s">
        <v>487</v>
      </c>
      <c r="D348" t="str">
        <f>_xlfn.XLOOKUP(C348,'Allow&amp;Disa Exp by Truelayer cat'!$B:$B,'Allow&amp;Disa Exp by Truelayer cat'!$C:$C)</f>
        <v>Allowable</v>
      </c>
      <c r="E348" s="116">
        <f>_xlfn.XLOOKUP(C348,'Allow&amp;Disa Exp by Truelayer cat'!$B:$B,'Allow&amp;Disa Exp by Truelayer cat'!$D:$D)</f>
        <v>0</v>
      </c>
      <c r="F348" t="str">
        <f>_xlfn.XLOOKUP(C348,'Allow&amp;Disa Exp by Truelayer cat'!$B:$B,'Allow&amp;Disa Exp by Truelayer cat'!$E:$E)</f>
        <v>Deduct from expenses</v>
      </c>
    </row>
    <row r="349" spans="1:6" x14ac:dyDescent="0.25">
      <c r="A349" t="s">
        <v>1079</v>
      </c>
      <c r="B349" t="s">
        <v>1296</v>
      </c>
      <c r="C349" t="s">
        <v>487</v>
      </c>
      <c r="D349" t="str">
        <f>_xlfn.XLOOKUP(C349,'Allow&amp;Disa Exp by Truelayer cat'!$B:$B,'Allow&amp;Disa Exp by Truelayer cat'!$C:$C)</f>
        <v>Allowable</v>
      </c>
      <c r="E349" s="116">
        <f>_xlfn.XLOOKUP(C349,'Allow&amp;Disa Exp by Truelayer cat'!$B:$B,'Allow&amp;Disa Exp by Truelayer cat'!$D:$D)</f>
        <v>0</v>
      </c>
      <c r="F349" t="str">
        <f>_xlfn.XLOOKUP(C349,'Allow&amp;Disa Exp by Truelayer cat'!$B:$B,'Allow&amp;Disa Exp by Truelayer cat'!$E:$E)</f>
        <v>Deduct from expenses</v>
      </c>
    </row>
    <row r="350" spans="1:6" x14ac:dyDescent="0.25">
      <c r="A350" t="s">
        <v>1079</v>
      </c>
      <c r="B350" t="s">
        <v>1297</v>
      </c>
      <c r="C350" t="s">
        <v>487</v>
      </c>
      <c r="D350" t="str">
        <f>_xlfn.XLOOKUP(C350,'Allow&amp;Disa Exp by Truelayer cat'!$B:$B,'Allow&amp;Disa Exp by Truelayer cat'!$C:$C)</f>
        <v>Allowable</v>
      </c>
      <c r="E350" s="116">
        <f>_xlfn.XLOOKUP(C350,'Allow&amp;Disa Exp by Truelayer cat'!$B:$B,'Allow&amp;Disa Exp by Truelayer cat'!$D:$D)</f>
        <v>0</v>
      </c>
      <c r="F350" t="str">
        <f>_xlfn.XLOOKUP(C350,'Allow&amp;Disa Exp by Truelayer cat'!$B:$B,'Allow&amp;Disa Exp by Truelayer cat'!$E:$E)</f>
        <v>Deduct from expenses</v>
      </c>
    </row>
    <row r="351" spans="1:6" x14ac:dyDescent="0.25">
      <c r="A351" t="s">
        <v>1079</v>
      </c>
      <c r="B351" t="s">
        <v>1298</v>
      </c>
      <c r="C351" t="s">
        <v>487</v>
      </c>
      <c r="D351" t="str">
        <f>_xlfn.XLOOKUP(C351,'Allow&amp;Disa Exp by Truelayer cat'!$B:$B,'Allow&amp;Disa Exp by Truelayer cat'!$C:$C)</f>
        <v>Allowable</v>
      </c>
      <c r="E351" s="116">
        <f>_xlfn.XLOOKUP(C351,'Allow&amp;Disa Exp by Truelayer cat'!$B:$B,'Allow&amp;Disa Exp by Truelayer cat'!$D:$D)</f>
        <v>0</v>
      </c>
      <c r="F351" t="str">
        <f>_xlfn.XLOOKUP(C351,'Allow&amp;Disa Exp by Truelayer cat'!$B:$B,'Allow&amp;Disa Exp by Truelayer cat'!$E:$E)</f>
        <v>Deduct from expenses</v>
      </c>
    </row>
    <row r="352" spans="1:6" x14ac:dyDescent="0.25">
      <c r="A352" t="s">
        <v>1079</v>
      </c>
      <c r="B352" t="s">
        <v>1299</v>
      </c>
      <c r="C352" t="s">
        <v>487</v>
      </c>
      <c r="D352" t="str">
        <f>_xlfn.XLOOKUP(C352,'Allow&amp;Disa Exp by Truelayer cat'!$B:$B,'Allow&amp;Disa Exp by Truelayer cat'!$C:$C)</f>
        <v>Allowable</v>
      </c>
      <c r="E352" s="116">
        <f>_xlfn.XLOOKUP(C352,'Allow&amp;Disa Exp by Truelayer cat'!$B:$B,'Allow&amp;Disa Exp by Truelayer cat'!$D:$D)</f>
        <v>0</v>
      </c>
      <c r="F352" t="str">
        <f>_xlfn.XLOOKUP(C352,'Allow&amp;Disa Exp by Truelayer cat'!$B:$B,'Allow&amp;Disa Exp by Truelayer cat'!$E:$E)</f>
        <v>Deduct from expenses</v>
      </c>
    </row>
    <row r="353" spans="1:6" x14ac:dyDescent="0.25">
      <c r="A353" t="s">
        <v>1079</v>
      </c>
      <c r="B353" t="s">
        <v>1300</v>
      </c>
      <c r="C353" t="s">
        <v>487</v>
      </c>
      <c r="D353" t="str">
        <f>_xlfn.XLOOKUP(C353,'Allow&amp;Disa Exp by Truelayer cat'!$B:$B,'Allow&amp;Disa Exp by Truelayer cat'!$C:$C)</f>
        <v>Allowable</v>
      </c>
      <c r="E353" s="116">
        <f>_xlfn.XLOOKUP(C353,'Allow&amp;Disa Exp by Truelayer cat'!$B:$B,'Allow&amp;Disa Exp by Truelayer cat'!$D:$D)</f>
        <v>0</v>
      </c>
      <c r="F353" t="str">
        <f>_xlfn.XLOOKUP(C353,'Allow&amp;Disa Exp by Truelayer cat'!$B:$B,'Allow&amp;Disa Exp by Truelayer cat'!$E:$E)</f>
        <v>Deduct from expenses</v>
      </c>
    </row>
    <row r="354" spans="1:6" x14ac:dyDescent="0.25">
      <c r="A354" t="s">
        <v>1079</v>
      </c>
      <c r="B354" t="s">
        <v>1301</v>
      </c>
      <c r="C354" t="s">
        <v>487</v>
      </c>
      <c r="D354" t="str">
        <f>_xlfn.XLOOKUP(C354,'Allow&amp;Disa Exp by Truelayer cat'!$B:$B,'Allow&amp;Disa Exp by Truelayer cat'!$C:$C)</f>
        <v>Allowable</v>
      </c>
      <c r="E354" s="116">
        <f>_xlfn.XLOOKUP(C354,'Allow&amp;Disa Exp by Truelayer cat'!$B:$B,'Allow&amp;Disa Exp by Truelayer cat'!$D:$D)</f>
        <v>0</v>
      </c>
      <c r="F354" t="str">
        <f>_xlfn.XLOOKUP(C354,'Allow&amp;Disa Exp by Truelayer cat'!$B:$B,'Allow&amp;Disa Exp by Truelayer cat'!$E:$E)</f>
        <v>Deduct from expenses</v>
      </c>
    </row>
    <row r="355" spans="1:6" x14ac:dyDescent="0.25">
      <c r="A355" t="s">
        <v>1079</v>
      </c>
      <c r="B355" t="s">
        <v>1302</v>
      </c>
      <c r="C355" t="s">
        <v>487</v>
      </c>
      <c r="D355" t="str">
        <f>_xlfn.XLOOKUP(C355,'Allow&amp;Disa Exp by Truelayer cat'!$B:$B,'Allow&amp;Disa Exp by Truelayer cat'!$C:$C)</f>
        <v>Allowable</v>
      </c>
      <c r="E355" s="116">
        <f>_xlfn.XLOOKUP(C355,'Allow&amp;Disa Exp by Truelayer cat'!$B:$B,'Allow&amp;Disa Exp by Truelayer cat'!$D:$D)</f>
        <v>0</v>
      </c>
      <c r="F355" t="str">
        <f>_xlfn.XLOOKUP(C355,'Allow&amp;Disa Exp by Truelayer cat'!$B:$B,'Allow&amp;Disa Exp by Truelayer cat'!$E:$E)</f>
        <v>Deduct from expenses</v>
      </c>
    </row>
    <row r="356" spans="1:6" x14ac:dyDescent="0.25">
      <c r="A356" t="s">
        <v>1079</v>
      </c>
      <c r="B356" t="s">
        <v>1303</v>
      </c>
      <c r="C356" t="s">
        <v>487</v>
      </c>
      <c r="D356" t="str">
        <f>_xlfn.XLOOKUP(C356,'Allow&amp;Disa Exp by Truelayer cat'!$B:$B,'Allow&amp;Disa Exp by Truelayer cat'!$C:$C)</f>
        <v>Allowable</v>
      </c>
      <c r="E356" s="116">
        <f>_xlfn.XLOOKUP(C356,'Allow&amp;Disa Exp by Truelayer cat'!$B:$B,'Allow&amp;Disa Exp by Truelayer cat'!$D:$D)</f>
        <v>0</v>
      </c>
      <c r="F356" t="str">
        <f>_xlfn.XLOOKUP(C356,'Allow&amp;Disa Exp by Truelayer cat'!$B:$B,'Allow&amp;Disa Exp by Truelayer cat'!$E:$E)</f>
        <v>Deduct from expenses</v>
      </c>
    </row>
    <row r="357" spans="1:6" x14ac:dyDescent="0.25">
      <c r="A357" t="s">
        <v>1079</v>
      </c>
      <c r="B357" t="s">
        <v>1304</v>
      </c>
      <c r="C357" t="s">
        <v>487</v>
      </c>
      <c r="D357" t="str">
        <f>_xlfn.XLOOKUP(C357,'Allow&amp;Disa Exp by Truelayer cat'!$B:$B,'Allow&amp;Disa Exp by Truelayer cat'!$C:$C)</f>
        <v>Allowable</v>
      </c>
      <c r="E357" s="116">
        <f>_xlfn.XLOOKUP(C357,'Allow&amp;Disa Exp by Truelayer cat'!$B:$B,'Allow&amp;Disa Exp by Truelayer cat'!$D:$D)</f>
        <v>0</v>
      </c>
      <c r="F357" t="str">
        <f>_xlfn.XLOOKUP(C357,'Allow&amp;Disa Exp by Truelayer cat'!$B:$B,'Allow&amp;Disa Exp by Truelayer cat'!$E:$E)</f>
        <v>Deduct from expenses</v>
      </c>
    </row>
    <row r="358" spans="1:6" x14ac:dyDescent="0.25">
      <c r="A358" t="s">
        <v>1079</v>
      </c>
      <c r="B358" t="s">
        <v>1305</v>
      </c>
      <c r="C358" t="s">
        <v>487</v>
      </c>
      <c r="D358" t="str">
        <f>_xlfn.XLOOKUP(C358,'Allow&amp;Disa Exp by Truelayer cat'!$B:$B,'Allow&amp;Disa Exp by Truelayer cat'!$C:$C)</f>
        <v>Allowable</v>
      </c>
      <c r="E358" s="116">
        <f>_xlfn.XLOOKUP(C358,'Allow&amp;Disa Exp by Truelayer cat'!$B:$B,'Allow&amp;Disa Exp by Truelayer cat'!$D:$D)</f>
        <v>0</v>
      </c>
      <c r="F358" t="str">
        <f>_xlfn.XLOOKUP(C358,'Allow&amp;Disa Exp by Truelayer cat'!$B:$B,'Allow&amp;Disa Exp by Truelayer cat'!$E:$E)</f>
        <v>Deduct from expenses</v>
      </c>
    </row>
    <row r="359" spans="1:6" x14ac:dyDescent="0.25">
      <c r="A359" t="s">
        <v>1079</v>
      </c>
      <c r="B359" t="s">
        <v>1306</v>
      </c>
      <c r="C359" t="s">
        <v>487</v>
      </c>
      <c r="D359" t="str">
        <f>_xlfn.XLOOKUP(C359,'Allow&amp;Disa Exp by Truelayer cat'!$B:$B,'Allow&amp;Disa Exp by Truelayer cat'!$C:$C)</f>
        <v>Allowable</v>
      </c>
      <c r="E359" s="116">
        <f>_xlfn.XLOOKUP(C359,'Allow&amp;Disa Exp by Truelayer cat'!$B:$B,'Allow&amp;Disa Exp by Truelayer cat'!$D:$D)</f>
        <v>0</v>
      </c>
      <c r="F359" t="str">
        <f>_xlfn.XLOOKUP(C359,'Allow&amp;Disa Exp by Truelayer cat'!$B:$B,'Allow&amp;Disa Exp by Truelayer cat'!$E:$E)</f>
        <v>Deduct from expenses</v>
      </c>
    </row>
    <row r="360" spans="1:6" x14ac:dyDescent="0.25">
      <c r="A360" t="s">
        <v>1079</v>
      </c>
      <c r="B360" t="s">
        <v>1307</v>
      </c>
      <c r="C360" t="s">
        <v>487</v>
      </c>
      <c r="D360" t="str">
        <f>_xlfn.XLOOKUP(C360,'Allow&amp;Disa Exp by Truelayer cat'!$B:$B,'Allow&amp;Disa Exp by Truelayer cat'!$C:$C)</f>
        <v>Allowable</v>
      </c>
      <c r="E360" s="116">
        <f>_xlfn.XLOOKUP(C360,'Allow&amp;Disa Exp by Truelayer cat'!$B:$B,'Allow&amp;Disa Exp by Truelayer cat'!$D:$D)</f>
        <v>0</v>
      </c>
      <c r="F360" t="str">
        <f>_xlfn.XLOOKUP(C360,'Allow&amp;Disa Exp by Truelayer cat'!$B:$B,'Allow&amp;Disa Exp by Truelayer cat'!$E:$E)</f>
        <v>Deduct from expenses</v>
      </c>
    </row>
    <row r="361" spans="1:6" x14ac:dyDescent="0.25">
      <c r="A361" t="s">
        <v>1079</v>
      </c>
      <c r="B361" t="s">
        <v>1308</v>
      </c>
      <c r="C361" t="s">
        <v>487</v>
      </c>
      <c r="D361" t="str">
        <f>_xlfn.XLOOKUP(C361,'Allow&amp;Disa Exp by Truelayer cat'!$B:$B,'Allow&amp;Disa Exp by Truelayer cat'!$C:$C)</f>
        <v>Allowable</v>
      </c>
      <c r="E361" s="116">
        <f>_xlfn.XLOOKUP(C361,'Allow&amp;Disa Exp by Truelayer cat'!$B:$B,'Allow&amp;Disa Exp by Truelayer cat'!$D:$D)</f>
        <v>0</v>
      </c>
      <c r="F361" t="str">
        <f>_xlfn.XLOOKUP(C361,'Allow&amp;Disa Exp by Truelayer cat'!$B:$B,'Allow&amp;Disa Exp by Truelayer cat'!$E:$E)</f>
        <v>Deduct from expenses</v>
      </c>
    </row>
    <row r="362" spans="1:6" x14ac:dyDescent="0.25">
      <c r="A362" t="s">
        <v>1079</v>
      </c>
      <c r="B362" t="s">
        <v>1309</v>
      </c>
      <c r="C362" t="s">
        <v>487</v>
      </c>
      <c r="D362" t="str">
        <f>_xlfn.XLOOKUP(C362,'Allow&amp;Disa Exp by Truelayer cat'!$B:$B,'Allow&amp;Disa Exp by Truelayer cat'!$C:$C)</f>
        <v>Allowable</v>
      </c>
      <c r="E362" s="116">
        <f>_xlfn.XLOOKUP(C362,'Allow&amp;Disa Exp by Truelayer cat'!$B:$B,'Allow&amp;Disa Exp by Truelayer cat'!$D:$D)</f>
        <v>0</v>
      </c>
      <c r="F362" t="str">
        <f>_xlfn.XLOOKUP(C362,'Allow&amp;Disa Exp by Truelayer cat'!$B:$B,'Allow&amp;Disa Exp by Truelayer cat'!$E:$E)</f>
        <v>Deduct from expenses</v>
      </c>
    </row>
    <row r="363" spans="1:6" x14ac:dyDescent="0.25">
      <c r="A363" t="s">
        <v>1079</v>
      </c>
      <c r="B363" t="s">
        <v>1310</v>
      </c>
      <c r="C363" t="s">
        <v>487</v>
      </c>
      <c r="D363" t="str">
        <f>_xlfn.XLOOKUP(C363,'Allow&amp;Disa Exp by Truelayer cat'!$B:$B,'Allow&amp;Disa Exp by Truelayer cat'!$C:$C)</f>
        <v>Allowable</v>
      </c>
      <c r="E363" s="116">
        <f>_xlfn.XLOOKUP(C363,'Allow&amp;Disa Exp by Truelayer cat'!$B:$B,'Allow&amp;Disa Exp by Truelayer cat'!$D:$D)</f>
        <v>0</v>
      </c>
      <c r="F363" t="str">
        <f>_xlfn.XLOOKUP(C363,'Allow&amp;Disa Exp by Truelayer cat'!$B:$B,'Allow&amp;Disa Exp by Truelayer cat'!$E:$E)</f>
        <v>Deduct from expenses</v>
      </c>
    </row>
    <row r="364" spans="1:6" x14ac:dyDescent="0.25">
      <c r="A364" t="s">
        <v>1079</v>
      </c>
      <c r="B364" t="s">
        <v>1311</v>
      </c>
      <c r="C364" t="s">
        <v>487</v>
      </c>
      <c r="D364" t="str">
        <f>_xlfn.XLOOKUP(C364,'Allow&amp;Disa Exp by Truelayer cat'!$B:$B,'Allow&amp;Disa Exp by Truelayer cat'!$C:$C)</f>
        <v>Allowable</v>
      </c>
      <c r="E364" s="116">
        <f>_xlfn.XLOOKUP(C364,'Allow&amp;Disa Exp by Truelayer cat'!$B:$B,'Allow&amp;Disa Exp by Truelayer cat'!$D:$D)</f>
        <v>0</v>
      </c>
      <c r="F364" t="str">
        <f>_xlfn.XLOOKUP(C364,'Allow&amp;Disa Exp by Truelayer cat'!$B:$B,'Allow&amp;Disa Exp by Truelayer cat'!$E:$E)</f>
        <v>Deduct from expenses</v>
      </c>
    </row>
    <row r="365" spans="1:6" x14ac:dyDescent="0.25">
      <c r="A365" t="s">
        <v>1079</v>
      </c>
      <c r="B365" t="s">
        <v>1312</v>
      </c>
      <c r="C365" t="s">
        <v>487</v>
      </c>
      <c r="D365" t="str">
        <f>_xlfn.XLOOKUP(C365,'Allow&amp;Disa Exp by Truelayer cat'!$B:$B,'Allow&amp;Disa Exp by Truelayer cat'!$C:$C)</f>
        <v>Allowable</v>
      </c>
      <c r="E365" s="116">
        <f>_xlfn.XLOOKUP(C365,'Allow&amp;Disa Exp by Truelayer cat'!$B:$B,'Allow&amp;Disa Exp by Truelayer cat'!$D:$D)</f>
        <v>0</v>
      </c>
      <c r="F365" t="str">
        <f>_xlfn.XLOOKUP(C365,'Allow&amp;Disa Exp by Truelayer cat'!$B:$B,'Allow&amp;Disa Exp by Truelayer cat'!$E:$E)</f>
        <v>Deduct from expenses</v>
      </c>
    </row>
    <row r="366" spans="1:6" x14ac:dyDescent="0.25">
      <c r="A366" t="s">
        <v>1079</v>
      </c>
      <c r="B366" t="s">
        <v>1313</v>
      </c>
      <c r="C366" t="s">
        <v>487</v>
      </c>
      <c r="D366" t="str">
        <f>_xlfn.XLOOKUP(C366,'Allow&amp;Disa Exp by Truelayer cat'!$B:$B,'Allow&amp;Disa Exp by Truelayer cat'!$C:$C)</f>
        <v>Allowable</v>
      </c>
      <c r="E366" s="116">
        <f>_xlfn.XLOOKUP(C366,'Allow&amp;Disa Exp by Truelayer cat'!$B:$B,'Allow&amp;Disa Exp by Truelayer cat'!$D:$D)</f>
        <v>0</v>
      </c>
      <c r="F366" t="str">
        <f>_xlfn.XLOOKUP(C366,'Allow&amp;Disa Exp by Truelayer cat'!$B:$B,'Allow&amp;Disa Exp by Truelayer cat'!$E:$E)</f>
        <v>Deduct from expenses</v>
      </c>
    </row>
    <row r="367" spans="1:6" x14ac:dyDescent="0.25">
      <c r="A367" t="s">
        <v>1079</v>
      </c>
      <c r="B367" t="s">
        <v>1314</v>
      </c>
      <c r="C367" t="s">
        <v>487</v>
      </c>
      <c r="D367" t="str">
        <f>_xlfn.XLOOKUP(C367,'Allow&amp;Disa Exp by Truelayer cat'!$B:$B,'Allow&amp;Disa Exp by Truelayer cat'!$C:$C)</f>
        <v>Allowable</v>
      </c>
      <c r="E367" s="116">
        <f>_xlfn.XLOOKUP(C367,'Allow&amp;Disa Exp by Truelayer cat'!$B:$B,'Allow&amp;Disa Exp by Truelayer cat'!$D:$D)</f>
        <v>0</v>
      </c>
      <c r="F367" t="str">
        <f>_xlfn.XLOOKUP(C367,'Allow&amp;Disa Exp by Truelayer cat'!$B:$B,'Allow&amp;Disa Exp by Truelayer cat'!$E:$E)</f>
        <v>Deduct from expenses</v>
      </c>
    </row>
    <row r="368" spans="1:6" x14ac:dyDescent="0.25">
      <c r="A368" t="s">
        <v>1079</v>
      </c>
      <c r="B368" t="s">
        <v>1315</v>
      </c>
      <c r="C368" t="s">
        <v>487</v>
      </c>
      <c r="D368" t="str">
        <f>_xlfn.XLOOKUP(C368,'Allow&amp;Disa Exp by Truelayer cat'!$B:$B,'Allow&amp;Disa Exp by Truelayer cat'!$C:$C)</f>
        <v>Allowable</v>
      </c>
      <c r="E368" s="116">
        <f>_xlfn.XLOOKUP(C368,'Allow&amp;Disa Exp by Truelayer cat'!$B:$B,'Allow&amp;Disa Exp by Truelayer cat'!$D:$D)</f>
        <v>0</v>
      </c>
      <c r="F368" t="str">
        <f>_xlfn.XLOOKUP(C368,'Allow&amp;Disa Exp by Truelayer cat'!$B:$B,'Allow&amp;Disa Exp by Truelayer cat'!$E:$E)</f>
        <v>Deduct from expenses</v>
      </c>
    </row>
    <row r="369" spans="1:6" x14ac:dyDescent="0.25">
      <c r="A369" t="s">
        <v>1079</v>
      </c>
      <c r="B369" t="s">
        <v>1316</v>
      </c>
      <c r="C369" t="s">
        <v>487</v>
      </c>
      <c r="D369" t="str">
        <f>_xlfn.XLOOKUP(C369,'Allow&amp;Disa Exp by Truelayer cat'!$B:$B,'Allow&amp;Disa Exp by Truelayer cat'!$C:$C)</f>
        <v>Allowable</v>
      </c>
      <c r="E369" s="116">
        <f>_xlfn.XLOOKUP(C369,'Allow&amp;Disa Exp by Truelayer cat'!$B:$B,'Allow&amp;Disa Exp by Truelayer cat'!$D:$D)</f>
        <v>0</v>
      </c>
      <c r="F369" t="str">
        <f>_xlfn.XLOOKUP(C369,'Allow&amp;Disa Exp by Truelayer cat'!$B:$B,'Allow&amp;Disa Exp by Truelayer cat'!$E:$E)</f>
        <v>Deduct from expenses</v>
      </c>
    </row>
    <row r="370" spans="1:6" x14ac:dyDescent="0.25">
      <c r="A370" t="s">
        <v>1079</v>
      </c>
      <c r="B370" t="s">
        <v>1317</v>
      </c>
      <c r="C370" t="s">
        <v>487</v>
      </c>
      <c r="D370" t="str">
        <f>_xlfn.XLOOKUP(C370,'Allow&amp;Disa Exp by Truelayer cat'!$B:$B,'Allow&amp;Disa Exp by Truelayer cat'!$C:$C)</f>
        <v>Allowable</v>
      </c>
      <c r="E370" s="116">
        <f>_xlfn.XLOOKUP(C370,'Allow&amp;Disa Exp by Truelayer cat'!$B:$B,'Allow&amp;Disa Exp by Truelayer cat'!$D:$D)</f>
        <v>0</v>
      </c>
      <c r="F370" t="str">
        <f>_xlfn.XLOOKUP(C370,'Allow&amp;Disa Exp by Truelayer cat'!$B:$B,'Allow&amp;Disa Exp by Truelayer cat'!$E:$E)</f>
        <v>Deduct from expenses</v>
      </c>
    </row>
    <row r="371" spans="1:6" x14ac:dyDescent="0.25">
      <c r="A371" t="s">
        <v>1079</v>
      </c>
      <c r="B371" t="s">
        <v>1318</v>
      </c>
      <c r="C371" t="s">
        <v>487</v>
      </c>
      <c r="D371" t="str">
        <f>_xlfn.XLOOKUP(C371,'Allow&amp;Disa Exp by Truelayer cat'!$B:$B,'Allow&amp;Disa Exp by Truelayer cat'!$C:$C)</f>
        <v>Allowable</v>
      </c>
      <c r="E371" s="116">
        <f>_xlfn.XLOOKUP(C371,'Allow&amp;Disa Exp by Truelayer cat'!$B:$B,'Allow&amp;Disa Exp by Truelayer cat'!$D:$D)</f>
        <v>0</v>
      </c>
      <c r="F371" t="str">
        <f>_xlfn.XLOOKUP(C371,'Allow&amp;Disa Exp by Truelayer cat'!$B:$B,'Allow&amp;Disa Exp by Truelayer cat'!$E:$E)</f>
        <v>Deduct from expenses</v>
      </c>
    </row>
    <row r="372" spans="1:6" x14ac:dyDescent="0.25">
      <c r="A372" t="s">
        <v>1079</v>
      </c>
      <c r="B372" t="s">
        <v>1319</v>
      </c>
      <c r="C372" t="s">
        <v>487</v>
      </c>
      <c r="D372" t="str">
        <f>_xlfn.XLOOKUP(C372,'Allow&amp;Disa Exp by Truelayer cat'!$B:$B,'Allow&amp;Disa Exp by Truelayer cat'!$C:$C)</f>
        <v>Allowable</v>
      </c>
      <c r="E372" s="116">
        <f>_xlfn.XLOOKUP(C372,'Allow&amp;Disa Exp by Truelayer cat'!$B:$B,'Allow&amp;Disa Exp by Truelayer cat'!$D:$D)</f>
        <v>0</v>
      </c>
      <c r="F372" t="str">
        <f>_xlfn.XLOOKUP(C372,'Allow&amp;Disa Exp by Truelayer cat'!$B:$B,'Allow&amp;Disa Exp by Truelayer cat'!$E:$E)</f>
        <v>Deduct from expenses</v>
      </c>
    </row>
    <row r="373" spans="1:6" x14ac:dyDescent="0.25">
      <c r="A373" t="s">
        <v>1079</v>
      </c>
      <c r="B373" t="s">
        <v>1320</v>
      </c>
      <c r="C373" t="s">
        <v>487</v>
      </c>
      <c r="D373" t="str">
        <f>_xlfn.XLOOKUP(C373,'Allow&amp;Disa Exp by Truelayer cat'!$B:$B,'Allow&amp;Disa Exp by Truelayer cat'!$C:$C)</f>
        <v>Allowable</v>
      </c>
      <c r="E373" s="116">
        <f>_xlfn.XLOOKUP(C373,'Allow&amp;Disa Exp by Truelayer cat'!$B:$B,'Allow&amp;Disa Exp by Truelayer cat'!$D:$D)</f>
        <v>0</v>
      </c>
      <c r="F373" t="str">
        <f>_xlfn.XLOOKUP(C373,'Allow&amp;Disa Exp by Truelayer cat'!$B:$B,'Allow&amp;Disa Exp by Truelayer cat'!$E:$E)</f>
        <v>Deduct from expenses</v>
      </c>
    </row>
    <row r="374" spans="1:6" x14ac:dyDescent="0.25">
      <c r="A374" t="s">
        <v>1079</v>
      </c>
      <c r="B374" t="s">
        <v>1321</v>
      </c>
      <c r="C374" t="s">
        <v>487</v>
      </c>
      <c r="D374" t="str">
        <f>_xlfn.XLOOKUP(C374,'Allow&amp;Disa Exp by Truelayer cat'!$B:$B,'Allow&amp;Disa Exp by Truelayer cat'!$C:$C)</f>
        <v>Allowable</v>
      </c>
      <c r="E374" s="116">
        <f>_xlfn.XLOOKUP(C374,'Allow&amp;Disa Exp by Truelayer cat'!$B:$B,'Allow&amp;Disa Exp by Truelayer cat'!$D:$D)</f>
        <v>0</v>
      </c>
      <c r="F374" t="str">
        <f>_xlfn.XLOOKUP(C374,'Allow&amp;Disa Exp by Truelayer cat'!$B:$B,'Allow&amp;Disa Exp by Truelayer cat'!$E:$E)</f>
        <v>Deduct from expenses</v>
      </c>
    </row>
    <row r="375" spans="1:6" x14ac:dyDescent="0.25">
      <c r="A375" t="s">
        <v>1079</v>
      </c>
      <c r="B375" t="s">
        <v>1322</v>
      </c>
      <c r="C375" t="s">
        <v>487</v>
      </c>
      <c r="D375" t="str">
        <f>_xlfn.XLOOKUP(C375,'Allow&amp;Disa Exp by Truelayer cat'!$B:$B,'Allow&amp;Disa Exp by Truelayer cat'!$C:$C)</f>
        <v>Allowable</v>
      </c>
      <c r="E375" s="116">
        <f>_xlfn.XLOOKUP(C375,'Allow&amp;Disa Exp by Truelayer cat'!$B:$B,'Allow&amp;Disa Exp by Truelayer cat'!$D:$D)</f>
        <v>0</v>
      </c>
      <c r="F375" t="str">
        <f>_xlfn.XLOOKUP(C375,'Allow&amp;Disa Exp by Truelayer cat'!$B:$B,'Allow&amp;Disa Exp by Truelayer cat'!$E:$E)</f>
        <v>Deduct from expenses</v>
      </c>
    </row>
    <row r="376" spans="1:6" x14ac:dyDescent="0.25">
      <c r="A376" t="s">
        <v>1079</v>
      </c>
      <c r="B376" t="s">
        <v>1323</v>
      </c>
      <c r="C376" t="s">
        <v>487</v>
      </c>
      <c r="D376" t="str">
        <f>_xlfn.XLOOKUP(C376,'Allow&amp;Disa Exp by Truelayer cat'!$B:$B,'Allow&amp;Disa Exp by Truelayer cat'!$C:$C)</f>
        <v>Allowable</v>
      </c>
      <c r="E376" s="116">
        <f>_xlfn.XLOOKUP(C376,'Allow&amp;Disa Exp by Truelayer cat'!$B:$B,'Allow&amp;Disa Exp by Truelayer cat'!$D:$D)</f>
        <v>0</v>
      </c>
      <c r="F376" t="str">
        <f>_xlfn.XLOOKUP(C376,'Allow&amp;Disa Exp by Truelayer cat'!$B:$B,'Allow&amp;Disa Exp by Truelayer cat'!$E:$E)</f>
        <v>Deduct from expenses</v>
      </c>
    </row>
    <row r="377" spans="1:6" x14ac:dyDescent="0.25">
      <c r="A377" t="s">
        <v>1079</v>
      </c>
      <c r="B377" t="s">
        <v>1324</v>
      </c>
      <c r="C377" t="s">
        <v>487</v>
      </c>
      <c r="D377" t="str">
        <f>_xlfn.XLOOKUP(C377,'Allow&amp;Disa Exp by Truelayer cat'!$B:$B,'Allow&amp;Disa Exp by Truelayer cat'!$C:$C)</f>
        <v>Allowable</v>
      </c>
      <c r="E377" s="116">
        <f>_xlfn.XLOOKUP(C377,'Allow&amp;Disa Exp by Truelayer cat'!$B:$B,'Allow&amp;Disa Exp by Truelayer cat'!$D:$D)</f>
        <v>0</v>
      </c>
      <c r="F377" t="str">
        <f>_xlfn.XLOOKUP(C377,'Allow&amp;Disa Exp by Truelayer cat'!$B:$B,'Allow&amp;Disa Exp by Truelayer cat'!$E:$E)</f>
        <v>Deduct from expenses</v>
      </c>
    </row>
    <row r="378" spans="1:6" x14ac:dyDescent="0.25">
      <c r="A378" t="s">
        <v>1079</v>
      </c>
      <c r="B378" t="s">
        <v>1325</v>
      </c>
      <c r="C378" t="s">
        <v>487</v>
      </c>
      <c r="D378" t="str">
        <f>_xlfn.XLOOKUP(C378,'Allow&amp;Disa Exp by Truelayer cat'!$B:$B,'Allow&amp;Disa Exp by Truelayer cat'!$C:$C)</f>
        <v>Allowable</v>
      </c>
      <c r="E378" s="116">
        <f>_xlfn.XLOOKUP(C378,'Allow&amp;Disa Exp by Truelayer cat'!$B:$B,'Allow&amp;Disa Exp by Truelayer cat'!$D:$D)</f>
        <v>0</v>
      </c>
      <c r="F378" t="str">
        <f>_xlfn.XLOOKUP(C378,'Allow&amp;Disa Exp by Truelayer cat'!$B:$B,'Allow&amp;Disa Exp by Truelayer cat'!$E:$E)</f>
        <v>Deduct from expenses</v>
      </c>
    </row>
    <row r="379" spans="1:6" x14ac:dyDescent="0.25">
      <c r="A379" t="s">
        <v>1079</v>
      </c>
      <c r="B379" t="s">
        <v>1326</v>
      </c>
      <c r="C379" t="s">
        <v>487</v>
      </c>
      <c r="D379" t="str">
        <f>_xlfn.XLOOKUP(C379,'Allow&amp;Disa Exp by Truelayer cat'!$B:$B,'Allow&amp;Disa Exp by Truelayer cat'!$C:$C)</f>
        <v>Allowable</v>
      </c>
      <c r="E379" s="116">
        <f>_xlfn.XLOOKUP(C379,'Allow&amp;Disa Exp by Truelayer cat'!$B:$B,'Allow&amp;Disa Exp by Truelayer cat'!$D:$D)</f>
        <v>0</v>
      </c>
      <c r="F379" t="str">
        <f>_xlfn.XLOOKUP(C379,'Allow&amp;Disa Exp by Truelayer cat'!$B:$B,'Allow&amp;Disa Exp by Truelayer cat'!$E:$E)</f>
        <v>Deduct from expenses</v>
      </c>
    </row>
    <row r="380" spans="1:6" x14ac:dyDescent="0.25">
      <c r="A380" t="s">
        <v>1079</v>
      </c>
      <c r="B380" t="s">
        <v>1327</v>
      </c>
      <c r="C380" t="s">
        <v>487</v>
      </c>
      <c r="D380" t="str">
        <f>_xlfn.XLOOKUP(C380,'Allow&amp;Disa Exp by Truelayer cat'!$B:$B,'Allow&amp;Disa Exp by Truelayer cat'!$C:$C)</f>
        <v>Allowable</v>
      </c>
      <c r="E380" s="116">
        <f>_xlfn.XLOOKUP(C380,'Allow&amp;Disa Exp by Truelayer cat'!$B:$B,'Allow&amp;Disa Exp by Truelayer cat'!$D:$D)</f>
        <v>0</v>
      </c>
      <c r="F380" t="str">
        <f>_xlfn.XLOOKUP(C380,'Allow&amp;Disa Exp by Truelayer cat'!$B:$B,'Allow&amp;Disa Exp by Truelayer cat'!$E:$E)</f>
        <v>Deduct from expenses</v>
      </c>
    </row>
    <row r="381" spans="1:6" x14ac:dyDescent="0.25">
      <c r="A381" t="s">
        <v>1079</v>
      </c>
      <c r="B381" t="s">
        <v>1328</v>
      </c>
      <c r="C381" t="s">
        <v>487</v>
      </c>
      <c r="D381" t="str">
        <f>_xlfn.XLOOKUP(C381,'Allow&amp;Disa Exp by Truelayer cat'!$B:$B,'Allow&amp;Disa Exp by Truelayer cat'!$C:$C)</f>
        <v>Allowable</v>
      </c>
      <c r="E381" s="116">
        <f>_xlfn.XLOOKUP(C381,'Allow&amp;Disa Exp by Truelayer cat'!$B:$B,'Allow&amp;Disa Exp by Truelayer cat'!$D:$D)</f>
        <v>0</v>
      </c>
      <c r="F381" t="str">
        <f>_xlfn.XLOOKUP(C381,'Allow&amp;Disa Exp by Truelayer cat'!$B:$B,'Allow&amp;Disa Exp by Truelayer cat'!$E:$E)</f>
        <v>Deduct from expenses</v>
      </c>
    </row>
    <row r="382" spans="1:6" x14ac:dyDescent="0.25">
      <c r="A382" t="s">
        <v>1079</v>
      </c>
      <c r="B382" t="s">
        <v>1329</v>
      </c>
      <c r="C382" t="s">
        <v>487</v>
      </c>
      <c r="D382" t="str">
        <f>_xlfn.XLOOKUP(C382,'Allow&amp;Disa Exp by Truelayer cat'!$B:$B,'Allow&amp;Disa Exp by Truelayer cat'!$C:$C)</f>
        <v>Allowable</v>
      </c>
      <c r="E382" s="116">
        <f>_xlfn.XLOOKUP(C382,'Allow&amp;Disa Exp by Truelayer cat'!$B:$B,'Allow&amp;Disa Exp by Truelayer cat'!$D:$D)</f>
        <v>0</v>
      </c>
      <c r="F382" t="str">
        <f>_xlfn.XLOOKUP(C382,'Allow&amp;Disa Exp by Truelayer cat'!$B:$B,'Allow&amp;Disa Exp by Truelayer cat'!$E:$E)</f>
        <v>Deduct from expenses</v>
      </c>
    </row>
    <row r="383" spans="1:6" x14ac:dyDescent="0.25">
      <c r="A383" t="s">
        <v>1079</v>
      </c>
      <c r="B383" t="s">
        <v>1330</v>
      </c>
      <c r="C383" t="s">
        <v>487</v>
      </c>
      <c r="D383" t="str">
        <f>_xlfn.XLOOKUP(C383,'Allow&amp;Disa Exp by Truelayer cat'!$B:$B,'Allow&amp;Disa Exp by Truelayer cat'!$C:$C)</f>
        <v>Allowable</v>
      </c>
      <c r="E383" s="116">
        <f>_xlfn.XLOOKUP(C383,'Allow&amp;Disa Exp by Truelayer cat'!$B:$B,'Allow&amp;Disa Exp by Truelayer cat'!$D:$D)</f>
        <v>0</v>
      </c>
      <c r="F383" t="str">
        <f>_xlfn.XLOOKUP(C383,'Allow&amp;Disa Exp by Truelayer cat'!$B:$B,'Allow&amp;Disa Exp by Truelayer cat'!$E:$E)</f>
        <v>Deduct from expenses</v>
      </c>
    </row>
    <row r="384" spans="1:6" x14ac:dyDescent="0.25">
      <c r="A384" t="s">
        <v>1079</v>
      </c>
      <c r="B384" t="s">
        <v>1331</v>
      </c>
      <c r="C384" t="s">
        <v>487</v>
      </c>
      <c r="D384" t="str">
        <f>_xlfn.XLOOKUP(C384,'Allow&amp;Disa Exp by Truelayer cat'!$B:$B,'Allow&amp;Disa Exp by Truelayer cat'!$C:$C)</f>
        <v>Allowable</v>
      </c>
      <c r="E384" s="116">
        <f>_xlfn.XLOOKUP(C384,'Allow&amp;Disa Exp by Truelayer cat'!$B:$B,'Allow&amp;Disa Exp by Truelayer cat'!$D:$D)</f>
        <v>0</v>
      </c>
      <c r="F384" t="str">
        <f>_xlfn.XLOOKUP(C384,'Allow&amp;Disa Exp by Truelayer cat'!$B:$B,'Allow&amp;Disa Exp by Truelayer cat'!$E:$E)</f>
        <v>Deduct from expenses</v>
      </c>
    </row>
    <row r="385" spans="1:6" x14ac:dyDescent="0.25">
      <c r="A385" t="s">
        <v>1079</v>
      </c>
      <c r="B385" t="s">
        <v>1332</v>
      </c>
      <c r="C385" t="s">
        <v>487</v>
      </c>
      <c r="D385" t="str">
        <f>_xlfn.XLOOKUP(C385,'Allow&amp;Disa Exp by Truelayer cat'!$B:$B,'Allow&amp;Disa Exp by Truelayer cat'!$C:$C)</f>
        <v>Allowable</v>
      </c>
      <c r="E385" s="116">
        <f>_xlfn.XLOOKUP(C385,'Allow&amp;Disa Exp by Truelayer cat'!$B:$B,'Allow&amp;Disa Exp by Truelayer cat'!$D:$D)</f>
        <v>0</v>
      </c>
      <c r="F385" t="str">
        <f>_xlfn.XLOOKUP(C385,'Allow&amp;Disa Exp by Truelayer cat'!$B:$B,'Allow&amp;Disa Exp by Truelayer cat'!$E:$E)</f>
        <v>Deduct from expenses</v>
      </c>
    </row>
    <row r="386" spans="1:6" x14ac:dyDescent="0.25">
      <c r="A386" t="s">
        <v>1079</v>
      </c>
      <c r="B386" t="s">
        <v>1333</v>
      </c>
      <c r="C386" t="s">
        <v>487</v>
      </c>
      <c r="D386" t="str">
        <f>_xlfn.XLOOKUP(C386,'Allow&amp;Disa Exp by Truelayer cat'!$B:$B,'Allow&amp;Disa Exp by Truelayer cat'!$C:$C)</f>
        <v>Allowable</v>
      </c>
      <c r="E386" s="116">
        <f>_xlfn.XLOOKUP(C386,'Allow&amp;Disa Exp by Truelayer cat'!$B:$B,'Allow&amp;Disa Exp by Truelayer cat'!$D:$D)</f>
        <v>0</v>
      </c>
      <c r="F386" t="str">
        <f>_xlfn.XLOOKUP(C386,'Allow&amp;Disa Exp by Truelayer cat'!$B:$B,'Allow&amp;Disa Exp by Truelayer cat'!$E:$E)</f>
        <v>Deduct from expenses</v>
      </c>
    </row>
    <row r="387" spans="1:6" x14ac:dyDescent="0.25">
      <c r="A387" t="s">
        <v>1079</v>
      </c>
      <c r="B387" t="s">
        <v>1334</v>
      </c>
      <c r="C387" t="s">
        <v>487</v>
      </c>
      <c r="D387" t="str">
        <f>_xlfn.XLOOKUP(C387,'Allow&amp;Disa Exp by Truelayer cat'!$B:$B,'Allow&amp;Disa Exp by Truelayer cat'!$C:$C)</f>
        <v>Allowable</v>
      </c>
      <c r="E387" s="116">
        <f>_xlfn.XLOOKUP(C387,'Allow&amp;Disa Exp by Truelayer cat'!$B:$B,'Allow&amp;Disa Exp by Truelayer cat'!$D:$D)</f>
        <v>0</v>
      </c>
      <c r="F387" t="str">
        <f>_xlfn.XLOOKUP(C387,'Allow&amp;Disa Exp by Truelayer cat'!$B:$B,'Allow&amp;Disa Exp by Truelayer cat'!$E:$E)</f>
        <v>Deduct from expenses</v>
      </c>
    </row>
    <row r="388" spans="1:6" x14ac:dyDescent="0.25">
      <c r="A388" t="s">
        <v>1079</v>
      </c>
      <c r="B388" t="s">
        <v>1335</v>
      </c>
      <c r="C388" t="s">
        <v>487</v>
      </c>
      <c r="D388" t="str">
        <f>_xlfn.XLOOKUP(C388,'Allow&amp;Disa Exp by Truelayer cat'!$B:$B,'Allow&amp;Disa Exp by Truelayer cat'!$C:$C)</f>
        <v>Allowable</v>
      </c>
      <c r="E388" s="116">
        <f>_xlfn.XLOOKUP(C388,'Allow&amp;Disa Exp by Truelayer cat'!$B:$B,'Allow&amp;Disa Exp by Truelayer cat'!$D:$D)</f>
        <v>0</v>
      </c>
      <c r="F388" t="str">
        <f>_xlfn.XLOOKUP(C388,'Allow&amp;Disa Exp by Truelayer cat'!$B:$B,'Allow&amp;Disa Exp by Truelayer cat'!$E:$E)</f>
        <v>Deduct from expenses</v>
      </c>
    </row>
    <row r="389" spans="1:6" x14ac:dyDescent="0.25">
      <c r="A389" t="s">
        <v>1079</v>
      </c>
      <c r="B389" t="s">
        <v>1336</v>
      </c>
      <c r="C389" t="s">
        <v>487</v>
      </c>
      <c r="D389" t="str">
        <f>_xlfn.XLOOKUP(C389,'Allow&amp;Disa Exp by Truelayer cat'!$B:$B,'Allow&amp;Disa Exp by Truelayer cat'!$C:$C)</f>
        <v>Allowable</v>
      </c>
      <c r="E389" s="116">
        <f>_xlfn.XLOOKUP(C389,'Allow&amp;Disa Exp by Truelayer cat'!$B:$B,'Allow&amp;Disa Exp by Truelayer cat'!$D:$D)</f>
        <v>0</v>
      </c>
      <c r="F389" t="str">
        <f>_xlfn.XLOOKUP(C389,'Allow&amp;Disa Exp by Truelayer cat'!$B:$B,'Allow&amp;Disa Exp by Truelayer cat'!$E:$E)</f>
        <v>Deduct from expenses</v>
      </c>
    </row>
    <row r="390" spans="1:6" x14ac:dyDescent="0.25">
      <c r="A390" t="s">
        <v>1079</v>
      </c>
      <c r="B390" t="s">
        <v>1337</v>
      </c>
      <c r="C390" t="s">
        <v>487</v>
      </c>
      <c r="D390" t="str">
        <f>_xlfn.XLOOKUP(C390,'Allow&amp;Disa Exp by Truelayer cat'!$B:$B,'Allow&amp;Disa Exp by Truelayer cat'!$C:$C)</f>
        <v>Allowable</v>
      </c>
      <c r="E390" s="116">
        <f>_xlfn.XLOOKUP(C390,'Allow&amp;Disa Exp by Truelayer cat'!$B:$B,'Allow&amp;Disa Exp by Truelayer cat'!$D:$D)</f>
        <v>0</v>
      </c>
      <c r="F390" t="str">
        <f>_xlfn.XLOOKUP(C390,'Allow&amp;Disa Exp by Truelayer cat'!$B:$B,'Allow&amp;Disa Exp by Truelayer cat'!$E:$E)</f>
        <v>Deduct from expenses</v>
      </c>
    </row>
    <row r="391" spans="1:6" x14ac:dyDescent="0.25">
      <c r="A391" t="s">
        <v>1079</v>
      </c>
      <c r="B391" t="s">
        <v>1338</v>
      </c>
      <c r="C391" t="s">
        <v>487</v>
      </c>
      <c r="D391" t="str">
        <f>_xlfn.XLOOKUP(C391,'Allow&amp;Disa Exp by Truelayer cat'!$B:$B,'Allow&amp;Disa Exp by Truelayer cat'!$C:$C)</f>
        <v>Allowable</v>
      </c>
      <c r="E391" s="116">
        <f>_xlfn.XLOOKUP(C391,'Allow&amp;Disa Exp by Truelayer cat'!$B:$B,'Allow&amp;Disa Exp by Truelayer cat'!$D:$D)</f>
        <v>0</v>
      </c>
      <c r="F391" t="str">
        <f>_xlfn.XLOOKUP(C391,'Allow&amp;Disa Exp by Truelayer cat'!$B:$B,'Allow&amp;Disa Exp by Truelayer cat'!$E:$E)</f>
        <v>Deduct from expenses</v>
      </c>
    </row>
    <row r="392" spans="1:6" x14ac:dyDescent="0.25">
      <c r="A392" t="s">
        <v>1079</v>
      </c>
      <c r="B392" t="s">
        <v>1339</v>
      </c>
      <c r="C392" t="s">
        <v>487</v>
      </c>
      <c r="D392" t="str">
        <f>_xlfn.XLOOKUP(C392,'Allow&amp;Disa Exp by Truelayer cat'!$B:$B,'Allow&amp;Disa Exp by Truelayer cat'!$C:$C)</f>
        <v>Allowable</v>
      </c>
      <c r="E392" s="116">
        <f>_xlfn.XLOOKUP(C392,'Allow&amp;Disa Exp by Truelayer cat'!$B:$B,'Allow&amp;Disa Exp by Truelayer cat'!$D:$D)</f>
        <v>0</v>
      </c>
      <c r="F392" t="str">
        <f>_xlfn.XLOOKUP(C392,'Allow&amp;Disa Exp by Truelayer cat'!$B:$B,'Allow&amp;Disa Exp by Truelayer cat'!$E:$E)</f>
        <v>Deduct from expenses</v>
      </c>
    </row>
    <row r="393" spans="1:6" x14ac:dyDescent="0.25">
      <c r="A393" t="s">
        <v>1079</v>
      </c>
      <c r="B393" t="s">
        <v>1340</v>
      </c>
      <c r="C393" t="s">
        <v>487</v>
      </c>
      <c r="D393" t="str">
        <f>_xlfn.XLOOKUP(C393,'Allow&amp;Disa Exp by Truelayer cat'!$B:$B,'Allow&amp;Disa Exp by Truelayer cat'!$C:$C)</f>
        <v>Allowable</v>
      </c>
      <c r="E393" s="116">
        <f>_xlfn.XLOOKUP(C393,'Allow&amp;Disa Exp by Truelayer cat'!$B:$B,'Allow&amp;Disa Exp by Truelayer cat'!$D:$D)</f>
        <v>0</v>
      </c>
      <c r="F393" t="str">
        <f>_xlfn.XLOOKUP(C393,'Allow&amp;Disa Exp by Truelayer cat'!$B:$B,'Allow&amp;Disa Exp by Truelayer cat'!$E:$E)</f>
        <v>Deduct from expenses</v>
      </c>
    </row>
    <row r="394" spans="1:6" x14ac:dyDescent="0.25">
      <c r="A394" t="s">
        <v>1079</v>
      </c>
      <c r="B394" t="s">
        <v>1341</v>
      </c>
      <c r="C394" t="s">
        <v>487</v>
      </c>
      <c r="D394" t="str">
        <f>_xlfn.XLOOKUP(C394,'Allow&amp;Disa Exp by Truelayer cat'!$B:$B,'Allow&amp;Disa Exp by Truelayer cat'!$C:$C)</f>
        <v>Allowable</v>
      </c>
      <c r="E394" s="116">
        <f>_xlfn.XLOOKUP(C394,'Allow&amp;Disa Exp by Truelayer cat'!$B:$B,'Allow&amp;Disa Exp by Truelayer cat'!$D:$D)</f>
        <v>0</v>
      </c>
      <c r="F394" t="str">
        <f>_xlfn.XLOOKUP(C394,'Allow&amp;Disa Exp by Truelayer cat'!$B:$B,'Allow&amp;Disa Exp by Truelayer cat'!$E:$E)</f>
        <v>Deduct from expenses</v>
      </c>
    </row>
    <row r="395" spans="1:6" x14ac:dyDescent="0.25">
      <c r="A395" t="s">
        <v>1079</v>
      </c>
      <c r="B395" t="s">
        <v>1342</v>
      </c>
      <c r="C395" t="s">
        <v>487</v>
      </c>
      <c r="D395" t="str">
        <f>_xlfn.XLOOKUP(C395,'Allow&amp;Disa Exp by Truelayer cat'!$B:$B,'Allow&amp;Disa Exp by Truelayer cat'!$C:$C)</f>
        <v>Allowable</v>
      </c>
      <c r="E395" s="116">
        <f>_xlfn.XLOOKUP(C395,'Allow&amp;Disa Exp by Truelayer cat'!$B:$B,'Allow&amp;Disa Exp by Truelayer cat'!$D:$D)</f>
        <v>0</v>
      </c>
      <c r="F395" t="str">
        <f>_xlfn.XLOOKUP(C395,'Allow&amp;Disa Exp by Truelayer cat'!$B:$B,'Allow&amp;Disa Exp by Truelayer cat'!$E:$E)</f>
        <v>Deduct from expenses</v>
      </c>
    </row>
    <row r="396" spans="1:6" x14ac:dyDescent="0.25">
      <c r="A396" t="s">
        <v>1079</v>
      </c>
      <c r="B396" t="s">
        <v>1343</v>
      </c>
      <c r="C396" t="s">
        <v>487</v>
      </c>
      <c r="D396" t="str">
        <f>_xlfn.XLOOKUP(C396,'Allow&amp;Disa Exp by Truelayer cat'!$B:$B,'Allow&amp;Disa Exp by Truelayer cat'!$C:$C)</f>
        <v>Allowable</v>
      </c>
      <c r="E396" s="116">
        <f>_xlfn.XLOOKUP(C396,'Allow&amp;Disa Exp by Truelayer cat'!$B:$B,'Allow&amp;Disa Exp by Truelayer cat'!$D:$D)</f>
        <v>0</v>
      </c>
      <c r="F396" t="str">
        <f>_xlfn.XLOOKUP(C396,'Allow&amp;Disa Exp by Truelayer cat'!$B:$B,'Allow&amp;Disa Exp by Truelayer cat'!$E:$E)</f>
        <v>Deduct from expenses</v>
      </c>
    </row>
    <row r="397" spans="1:6" x14ac:dyDescent="0.25">
      <c r="A397" t="s">
        <v>1079</v>
      </c>
      <c r="B397" t="s">
        <v>1344</v>
      </c>
      <c r="C397" t="s">
        <v>487</v>
      </c>
      <c r="D397" t="str">
        <f>_xlfn.XLOOKUP(C397,'Allow&amp;Disa Exp by Truelayer cat'!$B:$B,'Allow&amp;Disa Exp by Truelayer cat'!$C:$C)</f>
        <v>Allowable</v>
      </c>
      <c r="E397" s="116">
        <f>_xlfn.XLOOKUP(C397,'Allow&amp;Disa Exp by Truelayer cat'!$B:$B,'Allow&amp;Disa Exp by Truelayer cat'!$D:$D)</f>
        <v>0</v>
      </c>
      <c r="F397" t="str">
        <f>_xlfn.XLOOKUP(C397,'Allow&amp;Disa Exp by Truelayer cat'!$B:$B,'Allow&amp;Disa Exp by Truelayer cat'!$E:$E)</f>
        <v>Deduct from expenses</v>
      </c>
    </row>
    <row r="398" spans="1:6" x14ac:dyDescent="0.25">
      <c r="A398" t="s">
        <v>1079</v>
      </c>
      <c r="B398" t="s">
        <v>1345</v>
      </c>
      <c r="C398" t="s">
        <v>487</v>
      </c>
      <c r="D398" t="str">
        <f>_xlfn.XLOOKUP(C398,'Allow&amp;Disa Exp by Truelayer cat'!$B:$B,'Allow&amp;Disa Exp by Truelayer cat'!$C:$C)</f>
        <v>Allowable</v>
      </c>
      <c r="E398" s="116">
        <f>_xlfn.XLOOKUP(C398,'Allow&amp;Disa Exp by Truelayer cat'!$B:$B,'Allow&amp;Disa Exp by Truelayer cat'!$D:$D)</f>
        <v>0</v>
      </c>
      <c r="F398" t="str">
        <f>_xlfn.XLOOKUP(C398,'Allow&amp;Disa Exp by Truelayer cat'!$B:$B,'Allow&amp;Disa Exp by Truelayer cat'!$E:$E)</f>
        <v>Deduct from expenses</v>
      </c>
    </row>
    <row r="399" spans="1:6" x14ac:dyDescent="0.25">
      <c r="A399" t="s">
        <v>1079</v>
      </c>
      <c r="B399" t="s">
        <v>1346</v>
      </c>
      <c r="C399" t="s">
        <v>487</v>
      </c>
      <c r="D399" t="str">
        <f>_xlfn.XLOOKUP(C399,'Allow&amp;Disa Exp by Truelayer cat'!$B:$B,'Allow&amp;Disa Exp by Truelayer cat'!$C:$C)</f>
        <v>Allowable</v>
      </c>
      <c r="E399" s="116">
        <f>_xlfn.XLOOKUP(C399,'Allow&amp;Disa Exp by Truelayer cat'!$B:$B,'Allow&amp;Disa Exp by Truelayer cat'!$D:$D)</f>
        <v>0</v>
      </c>
      <c r="F399" t="str">
        <f>_xlfn.XLOOKUP(C399,'Allow&amp;Disa Exp by Truelayer cat'!$B:$B,'Allow&amp;Disa Exp by Truelayer cat'!$E:$E)</f>
        <v>Deduct from expenses</v>
      </c>
    </row>
    <row r="400" spans="1:6" x14ac:dyDescent="0.25">
      <c r="A400" t="s">
        <v>1079</v>
      </c>
      <c r="B400" t="s">
        <v>1347</v>
      </c>
      <c r="C400" t="s">
        <v>487</v>
      </c>
      <c r="D400" t="str">
        <f>_xlfn.XLOOKUP(C400,'Allow&amp;Disa Exp by Truelayer cat'!$B:$B,'Allow&amp;Disa Exp by Truelayer cat'!$C:$C)</f>
        <v>Allowable</v>
      </c>
      <c r="E400" s="116">
        <f>_xlfn.XLOOKUP(C400,'Allow&amp;Disa Exp by Truelayer cat'!$B:$B,'Allow&amp;Disa Exp by Truelayer cat'!$D:$D)</f>
        <v>0</v>
      </c>
      <c r="F400" t="str">
        <f>_xlfn.XLOOKUP(C400,'Allow&amp;Disa Exp by Truelayer cat'!$B:$B,'Allow&amp;Disa Exp by Truelayer cat'!$E:$E)</f>
        <v>Deduct from expenses</v>
      </c>
    </row>
    <row r="401" spans="1:6" x14ac:dyDescent="0.25">
      <c r="A401" t="s">
        <v>1079</v>
      </c>
      <c r="B401" t="s">
        <v>1348</v>
      </c>
      <c r="C401" t="s">
        <v>487</v>
      </c>
      <c r="D401" t="str">
        <f>_xlfn.XLOOKUP(C401,'Allow&amp;Disa Exp by Truelayer cat'!$B:$B,'Allow&amp;Disa Exp by Truelayer cat'!$C:$C)</f>
        <v>Allowable</v>
      </c>
      <c r="E401" s="116">
        <f>_xlfn.XLOOKUP(C401,'Allow&amp;Disa Exp by Truelayer cat'!$B:$B,'Allow&amp;Disa Exp by Truelayer cat'!$D:$D)</f>
        <v>0</v>
      </c>
      <c r="F401" t="str">
        <f>_xlfn.XLOOKUP(C401,'Allow&amp;Disa Exp by Truelayer cat'!$B:$B,'Allow&amp;Disa Exp by Truelayer cat'!$E:$E)</f>
        <v>Deduct from expenses</v>
      </c>
    </row>
    <row r="402" spans="1:6" x14ac:dyDescent="0.25">
      <c r="A402" t="s">
        <v>1079</v>
      </c>
      <c r="B402" t="s">
        <v>1349</v>
      </c>
      <c r="C402" t="s">
        <v>487</v>
      </c>
      <c r="D402" t="str">
        <f>_xlfn.XLOOKUP(C402,'Allow&amp;Disa Exp by Truelayer cat'!$B:$B,'Allow&amp;Disa Exp by Truelayer cat'!$C:$C)</f>
        <v>Allowable</v>
      </c>
      <c r="E402" s="116">
        <f>_xlfn.XLOOKUP(C402,'Allow&amp;Disa Exp by Truelayer cat'!$B:$B,'Allow&amp;Disa Exp by Truelayer cat'!$D:$D)</f>
        <v>0</v>
      </c>
      <c r="F402" t="str">
        <f>_xlfn.XLOOKUP(C402,'Allow&amp;Disa Exp by Truelayer cat'!$B:$B,'Allow&amp;Disa Exp by Truelayer cat'!$E:$E)</f>
        <v>Deduct from expenses</v>
      </c>
    </row>
    <row r="403" spans="1:6" x14ac:dyDescent="0.25">
      <c r="A403" t="s">
        <v>1079</v>
      </c>
      <c r="B403" t="s">
        <v>1350</v>
      </c>
      <c r="C403" t="s">
        <v>487</v>
      </c>
      <c r="D403" t="str">
        <f>_xlfn.XLOOKUP(C403,'Allow&amp;Disa Exp by Truelayer cat'!$B:$B,'Allow&amp;Disa Exp by Truelayer cat'!$C:$C)</f>
        <v>Allowable</v>
      </c>
      <c r="E403" s="116">
        <f>_xlfn.XLOOKUP(C403,'Allow&amp;Disa Exp by Truelayer cat'!$B:$B,'Allow&amp;Disa Exp by Truelayer cat'!$D:$D)</f>
        <v>0</v>
      </c>
      <c r="F403" t="str">
        <f>_xlfn.XLOOKUP(C403,'Allow&amp;Disa Exp by Truelayer cat'!$B:$B,'Allow&amp;Disa Exp by Truelayer cat'!$E:$E)</f>
        <v>Deduct from expenses</v>
      </c>
    </row>
    <row r="404" spans="1:6" x14ac:dyDescent="0.25">
      <c r="A404" t="s">
        <v>1079</v>
      </c>
      <c r="B404" t="s">
        <v>1351</v>
      </c>
      <c r="C404" t="s">
        <v>487</v>
      </c>
      <c r="D404" t="str">
        <f>_xlfn.XLOOKUP(C404,'Allow&amp;Disa Exp by Truelayer cat'!$B:$B,'Allow&amp;Disa Exp by Truelayer cat'!$C:$C)</f>
        <v>Allowable</v>
      </c>
      <c r="E404" s="116">
        <f>_xlfn.XLOOKUP(C404,'Allow&amp;Disa Exp by Truelayer cat'!$B:$B,'Allow&amp;Disa Exp by Truelayer cat'!$D:$D)</f>
        <v>0</v>
      </c>
      <c r="F404" t="str">
        <f>_xlfn.XLOOKUP(C404,'Allow&amp;Disa Exp by Truelayer cat'!$B:$B,'Allow&amp;Disa Exp by Truelayer cat'!$E:$E)</f>
        <v>Deduct from expenses</v>
      </c>
    </row>
    <row r="405" spans="1:6" x14ac:dyDescent="0.25">
      <c r="A405" t="s">
        <v>1079</v>
      </c>
      <c r="B405" t="s">
        <v>1352</v>
      </c>
      <c r="C405" t="s">
        <v>487</v>
      </c>
      <c r="D405" t="str">
        <f>_xlfn.XLOOKUP(C405,'Allow&amp;Disa Exp by Truelayer cat'!$B:$B,'Allow&amp;Disa Exp by Truelayer cat'!$C:$C)</f>
        <v>Allowable</v>
      </c>
      <c r="E405" s="116">
        <f>_xlfn.XLOOKUP(C405,'Allow&amp;Disa Exp by Truelayer cat'!$B:$B,'Allow&amp;Disa Exp by Truelayer cat'!$D:$D)</f>
        <v>0</v>
      </c>
      <c r="F405" t="str">
        <f>_xlfn.XLOOKUP(C405,'Allow&amp;Disa Exp by Truelayer cat'!$B:$B,'Allow&amp;Disa Exp by Truelayer cat'!$E:$E)</f>
        <v>Deduct from expenses</v>
      </c>
    </row>
    <row r="406" spans="1:6" x14ac:dyDescent="0.25">
      <c r="A406" t="s">
        <v>1079</v>
      </c>
      <c r="B406" t="s">
        <v>1353</v>
      </c>
      <c r="C406" t="s">
        <v>487</v>
      </c>
      <c r="D406" t="str">
        <f>_xlfn.XLOOKUP(C406,'Allow&amp;Disa Exp by Truelayer cat'!$B:$B,'Allow&amp;Disa Exp by Truelayer cat'!$C:$C)</f>
        <v>Allowable</v>
      </c>
      <c r="E406" s="116">
        <f>_xlfn.XLOOKUP(C406,'Allow&amp;Disa Exp by Truelayer cat'!$B:$B,'Allow&amp;Disa Exp by Truelayer cat'!$D:$D)</f>
        <v>0</v>
      </c>
      <c r="F406" t="str">
        <f>_xlfn.XLOOKUP(C406,'Allow&amp;Disa Exp by Truelayer cat'!$B:$B,'Allow&amp;Disa Exp by Truelayer cat'!$E:$E)</f>
        <v>Deduct from expenses</v>
      </c>
    </row>
    <row r="407" spans="1:6" x14ac:dyDescent="0.25">
      <c r="A407" t="s">
        <v>1079</v>
      </c>
      <c r="B407" t="s">
        <v>1354</v>
      </c>
      <c r="C407" t="s">
        <v>487</v>
      </c>
      <c r="D407" t="str">
        <f>_xlfn.XLOOKUP(C407,'Allow&amp;Disa Exp by Truelayer cat'!$B:$B,'Allow&amp;Disa Exp by Truelayer cat'!$C:$C)</f>
        <v>Allowable</v>
      </c>
      <c r="E407" s="116">
        <f>_xlfn.XLOOKUP(C407,'Allow&amp;Disa Exp by Truelayer cat'!$B:$B,'Allow&amp;Disa Exp by Truelayer cat'!$D:$D)</f>
        <v>0</v>
      </c>
      <c r="F407" t="str">
        <f>_xlfn.XLOOKUP(C407,'Allow&amp;Disa Exp by Truelayer cat'!$B:$B,'Allow&amp;Disa Exp by Truelayer cat'!$E:$E)</f>
        <v>Deduct from expenses</v>
      </c>
    </row>
    <row r="408" spans="1:6" x14ac:dyDescent="0.25">
      <c r="A408" t="s">
        <v>1079</v>
      </c>
      <c r="B408" t="s">
        <v>1355</v>
      </c>
      <c r="C408" t="s">
        <v>487</v>
      </c>
      <c r="D408" t="str">
        <f>_xlfn.XLOOKUP(C408,'Allow&amp;Disa Exp by Truelayer cat'!$B:$B,'Allow&amp;Disa Exp by Truelayer cat'!$C:$C)</f>
        <v>Allowable</v>
      </c>
      <c r="E408" s="116">
        <f>_xlfn.XLOOKUP(C408,'Allow&amp;Disa Exp by Truelayer cat'!$B:$B,'Allow&amp;Disa Exp by Truelayer cat'!$D:$D)</f>
        <v>0</v>
      </c>
      <c r="F408" t="str">
        <f>_xlfn.XLOOKUP(C408,'Allow&amp;Disa Exp by Truelayer cat'!$B:$B,'Allow&amp;Disa Exp by Truelayer cat'!$E:$E)</f>
        <v>Deduct from expenses</v>
      </c>
    </row>
    <row r="409" spans="1:6" x14ac:dyDescent="0.25">
      <c r="A409" t="s">
        <v>1079</v>
      </c>
      <c r="B409" t="s">
        <v>1356</v>
      </c>
      <c r="C409" t="s">
        <v>487</v>
      </c>
      <c r="D409" t="str">
        <f>_xlfn.XLOOKUP(C409,'Allow&amp;Disa Exp by Truelayer cat'!$B:$B,'Allow&amp;Disa Exp by Truelayer cat'!$C:$C)</f>
        <v>Allowable</v>
      </c>
      <c r="E409" s="116">
        <f>_xlfn.XLOOKUP(C409,'Allow&amp;Disa Exp by Truelayer cat'!$B:$B,'Allow&amp;Disa Exp by Truelayer cat'!$D:$D)</f>
        <v>0</v>
      </c>
      <c r="F409" t="str">
        <f>_xlfn.XLOOKUP(C409,'Allow&amp;Disa Exp by Truelayer cat'!$B:$B,'Allow&amp;Disa Exp by Truelayer cat'!$E:$E)</f>
        <v>Deduct from expenses</v>
      </c>
    </row>
    <row r="410" spans="1:6" x14ac:dyDescent="0.25">
      <c r="A410" t="s">
        <v>1079</v>
      </c>
      <c r="B410" t="s">
        <v>1357</v>
      </c>
      <c r="C410" t="s">
        <v>487</v>
      </c>
      <c r="D410" t="str">
        <f>_xlfn.XLOOKUP(C410,'Allow&amp;Disa Exp by Truelayer cat'!$B:$B,'Allow&amp;Disa Exp by Truelayer cat'!$C:$C)</f>
        <v>Allowable</v>
      </c>
      <c r="E410" s="116">
        <f>_xlfn.XLOOKUP(C410,'Allow&amp;Disa Exp by Truelayer cat'!$B:$B,'Allow&amp;Disa Exp by Truelayer cat'!$D:$D)</f>
        <v>0</v>
      </c>
      <c r="F410" t="str">
        <f>_xlfn.XLOOKUP(C410,'Allow&amp;Disa Exp by Truelayer cat'!$B:$B,'Allow&amp;Disa Exp by Truelayer cat'!$E:$E)</f>
        <v>Deduct from expenses</v>
      </c>
    </row>
    <row r="411" spans="1:6" x14ac:dyDescent="0.25">
      <c r="A411" t="s">
        <v>1079</v>
      </c>
      <c r="B411" t="s">
        <v>1358</v>
      </c>
      <c r="C411" t="s">
        <v>487</v>
      </c>
      <c r="D411" t="str">
        <f>_xlfn.XLOOKUP(C411,'Allow&amp;Disa Exp by Truelayer cat'!$B:$B,'Allow&amp;Disa Exp by Truelayer cat'!$C:$C)</f>
        <v>Allowable</v>
      </c>
      <c r="E411" s="116">
        <f>_xlfn.XLOOKUP(C411,'Allow&amp;Disa Exp by Truelayer cat'!$B:$B,'Allow&amp;Disa Exp by Truelayer cat'!$D:$D)</f>
        <v>0</v>
      </c>
      <c r="F411" t="str">
        <f>_xlfn.XLOOKUP(C411,'Allow&amp;Disa Exp by Truelayer cat'!$B:$B,'Allow&amp;Disa Exp by Truelayer cat'!$E:$E)</f>
        <v>Deduct from expenses</v>
      </c>
    </row>
    <row r="412" spans="1:6" x14ac:dyDescent="0.25">
      <c r="A412" t="s">
        <v>1079</v>
      </c>
      <c r="B412" t="s">
        <v>1359</v>
      </c>
      <c r="C412" t="s">
        <v>487</v>
      </c>
      <c r="D412" t="str">
        <f>_xlfn.XLOOKUP(C412,'Allow&amp;Disa Exp by Truelayer cat'!$B:$B,'Allow&amp;Disa Exp by Truelayer cat'!$C:$C)</f>
        <v>Allowable</v>
      </c>
      <c r="E412" s="116">
        <f>_xlfn.XLOOKUP(C412,'Allow&amp;Disa Exp by Truelayer cat'!$B:$B,'Allow&amp;Disa Exp by Truelayer cat'!$D:$D)</f>
        <v>0</v>
      </c>
      <c r="F412" t="str">
        <f>_xlfn.XLOOKUP(C412,'Allow&amp;Disa Exp by Truelayer cat'!$B:$B,'Allow&amp;Disa Exp by Truelayer cat'!$E:$E)</f>
        <v>Deduct from expenses</v>
      </c>
    </row>
    <row r="413" spans="1:6" x14ac:dyDescent="0.25">
      <c r="A413" t="s">
        <v>1079</v>
      </c>
      <c r="B413" t="s">
        <v>1360</v>
      </c>
      <c r="C413" t="s">
        <v>487</v>
      </c>
      <c r="D413" t="str">
        <f>_xlfn.XLOOKUP(C413,'Allow&amp;Disa Exp by Truelayer cat'!$B:$B,'Allow&amp;Disa Exp by Truelayer cat'!$C:$C)</f>
        <v>Allowable</v>
      </c>
      <c r="E413" s="116">
        <f>_xlfn.XLOOKUP(C413,'Allow&amp;Disa Exp by Truelayer cat'!$B:$B,'Allow&amp;Disa Exp by Truelayer cat'!$D:$D)</f>
        <v>0</v>
      </c>
      <c r="F413" t="str">
        <f>_xlfn.XLOOKUP(C413,'Allow&amp;Disa Exp by Truelayer cat'!$B:$B,'Allow&amp;Disa Exp by Truelayer cat'!$E:$E)</f>
        <v>Deduct from expenses</v>
      </c>
    </row>
    <row r="414" spans="1:6" x14ac:dyDescent="0.25">
      <c r="A414" t="s">
        <v>1079</v>
      </c>
      <c r="B414" t="s">
        <v>1361</v>
      </c>
      <c r="C414" t="s">
        <v>487</v>
      </c>
      <c r="D414" t="str">
        <f>_xlfn.XLOOKUP(C414,'Allow&amp;Disa Exp by Truelayer cat'!$B:$B,'Allow&amp;Disa Exp by Truelayer cat'!$C:$C)</f>
        <v>Allowable</v>
      </c>
      <c r="E414" s="116">
        <f>_xlfn.XLOOKUP(C414,'Allow&amp;Disa Exp by Truelayer cat'!$B:$B,'Allow&amp;Disa Exp by Truelayer cat'!$D:$D)</f>
        <v>0</v>
      </c>
      <c r="F414" t="str">
        <f>_xlfn.XLOOKUP(C414,'Allow&amp;Disa Exp by Truelayer cat'!$B:$B,'Allow&amp;Disa Exp by Truelayer cat'!$E:$E)</f>
        <v>Deduct from expenses</v>
      </c>
    </row>
    <row r="415" spans="1:6" x14ac:dyDescent="0.25">
      <c r="A415" t="s">
        <v>1079</v>
      </c>
      <c r="B415" t="s">
        <v>1362</v>
      </c>
      <c r="C415" t="s">
        <v>487</v>
      </c>
      <c r="D415" t="str">
        <f>_xlfn.XLOOKUP(C415,'Allow&amp;Disa Exp by Truelayer cat'!$B:$B,'Allow&amp;Disa Exp by Truelayer cat'!$C:$C)</f>
        <v>Allowable</v>
      </c>
      <c r="E415" s="116">
        <f>_xlfn.XLOOKUP(C415,'Allow&amp;Disa Exp by Truelayer cat'!$B:$B,'Allow&amp;Disa Exp by Truelayer cat'!$D:$D)</f>
        <v>0</v>
      </c>
      <c r="F415" t="str">
        <f>_xlfn.XLOOKUP(C415,'Allow&amp;Disa Exp by Truelayer cat'!$B:$B,'Allow&amp;Disa Exp by Truelayer cat'!$E:$E)</f>
        <v>Deduct from expenses</v>
      </c>
    </row>
    <row r="416" spans="1:6" x14ac:dyDescent="0.25">
      <c r="A416" t="s">
        <v>1079</v>
      </c>
      <c r="B416" t="s">
        <v>1363</v>
      </c>
      <c r="C416" t="s">
        <v>487</v>
      </c>
      <c r="D416" t="str">
        <f>_xlfn.XLOOKUP(C416,'Allow&amp;Disa Exp by Truelayer cat'!$B:$B,'Allow&amp;Disa Exp by Truelayer cat'!$C:$C)</f>
        <v>Allowable</v>
      </c>
      <c r="E416" s="116">
        <f>_xlfn.XLOOKUP(C416,'Allow&amp;Disa Exp by Truelayer cat'!$B:$B,'Allow&amp;Disa Exp by Truelayer cat'!$D:$D)</f>
        <v>0</v>
      </c>
      <c r="F416" t="str">
        <f>_xlfn.XLOOKUP(C416,'Allow&amp;Disa Exp by Truelayer cat'!$B:$B,'Allow&amp;Disa Exp by Truelayer cat'!$E:$E)</f>
        <v>Deduct from expenses</v>
      </c>
    </row>
    <row r="417" spans="1:6" x14ac:dyDescent="0.25">
      <c r="A417" t="s">
        <v>1079</v>
      </c>
      <c r="B417" t="s">
        <v>1364</v>
      </c>
      <c r="C417" t="s">
        <v>487</v>
      </c>
      <c r="D417" t="str">
        <f>_xlfn.XLOOKUP(C417,'Allow&amp;Disa Exp by Truelayer cat'!$B:$B,'Allow&amp;Disa Exp by Truelayer cat'!$C:$C)</f>
        <v>Allowable</v>
      </c>
      <c r="E417" s="116">
        <f>_xlfn.XLOOKUP(C417,'Allow&amp;Disa Exp by Truelayer cat'!$B:$B,'Allow&amp;Disa Exp by Truelayer cat'!$D:$D)</f>
        <v>0</v>
      </c>
      <c r="F417" t="str">
        <f>_xlfn.XLOOKUP(C417,'Allow&amp;Disa Exp by Truelayer cat'!$B:$B,'Allow&amp;Disa Exp by Truelayer cat'!$E:$E)</f>
        <v>Deduct from expenses</v>
      </c>
    </row>
    <row r="418" spans="1:6" x14ac:dyDescent="0.25">
      <c r="A418" t="s">
        <v>1079</v>
      </c>
      <c r="B418" t="s">
        <v>1365</v>
      </c>
      <c r="C418" t="s">
        <v>487</v>
      </c>
      <c r="D418" t="str">
        <f>_xlfn.XLOOKUP(C418,'Allow&amp;Disa Exp by Truelayer cat'!$B:$B,'Allow&amp;Disa Exp by Truelayer cat'!$C:$C)</f>
        <v>Allowable</v>
      </c>
      <c r="E418" s="116">
        <f>_xlfn.XLOOKUP(C418,'Allow&amp;Disa Exp by Truelayer cat'!$B:$B,'Allow&amp;Disa Exp by Truelayer cat'!$D:$D)</f>
        <v>0</v>
      </c>
      <c r="F418" t="str">
        <f>_xlfn.XLOOKUP(C418,'Allow&amp;Disa Exp by Truelayer cat'!$B:$B,'Allow&amp;Disa Exp by Truelayer cat'!$E:$E)</f>
        <v>Deduct from expenses</v>
      </c>
    </row>
    <row r="419" spans="1:6" x14ac:dyDescent="0.25">
      <c r="A419" t="s">
        <v>1079</v>
      </c>
      <c r="B419" t="s">
        <v>1366</v>
      </c>
      <c r="C419" t="s">
        <v>487</v>
      </c>
      <c r="D419" t="str">
        <f>_xlfn.XLOOKUP(C419,'Allow&amp;Disa Exp by Truelayer cat'!$B:$B,'Allow&amp;Disa Exp by Truelayer cat'!$C:$C)</f>
        <v>Allowable</v>
      </c>
      <c r="E419" s="116">
        <f>_xlfn.XLOOKUP(C419,'Allow&amp;Disa Exp by Truelayer cat'!$B:$B,'Allow&amp;Disa Exp by Truelayer cat'!$D:$D)</f>
        <v>0</v>
      </c>
      <c r="F419" t="str">
        <f>_xlfn.XLOOKUP(C419,'Allow&amp;Disa Exp by Truelayer cat'!$B:$B,'Allow&amp;Disa Exp by Truelayer cat'!$E:$E)</f>
        <v>Deduct from expenses</v>
      </c>
    </row>
    <row r="420" spans="1:6" x14ac:dyDescent="0.25">
      <c r="A420" t="s">
        <v>1079</v>
      </c>
      <c r="B420" t="s">
        <v>1367</v>
      </c>
      <c r="C420" t="s">
        <v>487</v>
      </c>
      <c r="D420" t="str">
        <f>_xlfn.XLOOKUP(C420,'Allow&amp;Disa Exp by Truelayer cat'!$B:$B,'Allow&amp;Disa Exp by Truelayer cat'!$C:$C)</f>
        <v>Allowable</v>
      </c>
      <c r="E420" s="116">
        <f>_xlfn.XLOOKUP(C420,'Allow&amp;Disa Exp by Truelayer cat'!$B:$B,'Allow&amp;Disa Exp by Truelayer cat'!$D:$D)</f>
        <v>0</v>
      </c>
      <c r="F420" t="str">
        <f>_xlfn.XLOOKUP(C420,'Allow&amp;Disa Exp by Truelayer cat'!$B:$B,'Allow&amp;Disa Exp by Truelayer cat'!$E:$E)</f>
        <v>Deduct from expenses</v>
      </c>
    </row>
    <row r="421" spans="1:6" x14ac:dyDescent="0.25">
      <c r="A421" t="s">
        <v>1079</v>
      </c>
      <c r="B421" t="s">
        <v>1368</v>
      </c>
      <c r="C421" t="s">
        <v>487</v>
      </c>
      <c r="D421" t="str">
        <f>_xlfn.XLOOKUP(C421,'Allow&amp;Disa Exp by Truelayer cat'!$B:$B,'Allow&amp;Disa Exp by Truelayer cat'!$C:$C)</f>
        <v>Allowable</v>
      </c>
      <c r="E421" s="116">
        <f>_xlfn.XLOOKUP(C421,'Allow&amp;Disa Exp by Truelayer cat'!$B:$B,'Allow&amp;Disa Exp by Truelayer cat'!$D:$D)</f>
        <v>0</v>
      </c>
      <c r="F421" t="str">
        <f>_xlfn.XLOOKUP(C421,'Allow&amp;Disa Exp by Truelayer cat'!$B:$B,'Allow&amp;Disa Exp by Truelayer cat'!$E:$E)</f>
        <v>Deduct from expenses</v>
      </c>
    </row>
    <row r="422" spans="1:6" x14ac:dyDescent="0.25">
      <c r="A422" t="s">
        <v>1079</v>
      </c>
      <c r="B422" t="s">
        <v>1369</v>
      </c>
      <c r="C422" t="s">
        <v>487</v>
      </c>
      <c r="D422" t="str">
        <f>_xlfn.XLOOKUP(C422,'Allow&amp;Disa Exp by Truelayer cat'!$B:$B,'Allow&amp;Disa Exp by Truelayer cat'!$C:$C)</f>
        <v>Allowable</v>
      </c>
      <c r="E422" s="116">
        <f>_xlfn.XLOOKUP(C422,'Allow&amp;Disa Exp by Truelayer cat'!$B:$B,'Allow&amp;Disa Exp by Truelayer cat'!$D:$D)</f>
        <v>0</v>
      </c>
      <c r="F422" t="str">
        <f>_xlfn.XLOOKUP(C422,'Allow&amp;Disa Exp by Truelayer cat'!$B:$B,'Allow&amp;Disa Exp by Truelayer cat'!$E:$E)</f>
        <v>Deduct from expenses</v>
      </c>
    </row>
    <row r="423" spans="1:6" x14ac:dyDescent="0.25">
      <c r="A423" t="s">
        <v>1079</v>
      </c>
      <c r="B423" t="s">
        <v>1370</v>
      </c>
      <c r="C423" t="s">
        <v>487</v>
      </c>
      <c r="D423" t="str">
        <f>_xlfn.XLOOKUP(C423,'Allow&amp;Disa Exp by Truelayer cat'!$B:$B,'Allow&amp;Disa Exp by Truelayer cat'!$C:$C)</f>
        <v>Allowable</v>
      </c>
      <c r="E423" s="116">
        <f>_xlfn.XLOOKUP(C423,'Allow&amp;Disa Exp by Truelayer cat'!$B:$B,'Allow&amp;Disa Exp by Truelayer cat'!$D:$D)</f>
        <v>0</v>
      </c>
      <c r="F423" t="str">
        <f>_xlfn.XLOOKUP(C423,'Allow&amp;Disa Exp by Truelayer cat'!$B:$B,'Allow&amp;Disa Exp by Truelayer cat'!$E:$E)</f>
        <v>Deduct from expenses</v>
      </c>
    </row>
    <row r="424" spans="1:6" x14ac:dyDescent="0.25">
      <c r="A424" t="s">
        <v>1079</v>
      </c>
      <c r="B424" t="s">
        <v>1371</v>
      </c>
      <c r="C424" t="s">
        <v>487</v>
      </c>
      <c r="D424" t="str">
        <f>_xlfn.XLOOKUP(C424,'Allow&amp;Disa Exp by Truelayer cat'!$B:$B,'Allow&amp;Disa Exp by Truelayer cat'!$C:$C)</f>
        <v>Allowable</v>
      </c>
      <c r="E424" s="116">
        <f>_xlfn.XLOOKUP(C424,'Allow&amp;Disa Exp by Truelayer cat'!$B:$B,'Allow&amp;Disa Exp by Truelayer cat'!$D:$D)</f>
        <v>0</v>
      </c>
      <c r="F424" t="str">
        <f>_xlfn.XLOOKUP(C424,'Allow&amp;Disa Exp by Truelayer cat'!$B:$B,'Allow&amp;Disa Exp by Truelayer cat'!$E:$E)</f>
        <v>Deduct from expenses</v>
      </c>
    </row>
    <row r="425" spans="1:6" x14ac:dyDescent="0.25">
      <c r="A425" t="s">
        <v>1079</v>
      </c>
      <c r="B425" t="s">
        <v>1372</v>
      </c>
      <c r="C425" t="s">
        <v>487</v>
      </c>
      <c r="D425" t="str">
        <f>_xlfn.XLOOKUP(C425,'Allow&amp;Disa Exp by Truelayer cat'!$B:$B,'Allow&amp;Disa Exp by Truelayer cat'!$C:$C)</f>
        <v>Allowable</v>
      </c>
      <c r="E425" s="116">
        <f>_xlfn.XLOOKUP(C425,'Allow&amp;Disa Exp by Truelayer cat'!$B:$B,'Allow&amp;Disa Exp by Truelayer cat'!$D:$D)</f>
        <v>0</v>
      </c>
      <c r="F425" t="str">
        <f>_xlfn.XLOOKUP(C425,'Allow&amp;Disa Exp by Truelayer cat'!$B:$B,'Allow&amp;Disa Exp by Truelayer cat'!$E:$E)</f>
        <v>Deduct from expenses</v>
      </c>
    </row>
    <row r="426" spans="1:6" x14ac:dyDescent="0.25">
      <c r="A426" t="s">
        <v>1079</v>
      </c>
      <c r="B426" t="s">
        <v>1373</v>
      </c>
      <c r="C426" t="s">
        <v>487</v>
      </c>
      <c r="D426" t="str">
        <f>_xlfn.XLOOKUP(C426,'Allow&amp;Disa Exp by Truelayer cat'!$B:$B,'Allow&amp;Disa Exp by Truelayer cat'!$C:$C)</f>
        <v>Allowable</v>
      </c>
      <c r="E426" s="116">
        <f>_xlfn.XLOOKUP(C426,'Allow&amp;Disa Exp by Truelayer cat'!$B:$B,'Allow&amp;Disa Exp by Truelayer cat'!$D:$D)</f>
        <v>0</v>
      </c>
      <c r="F426" t="str">
        <f>_xlfn.XLOOKUP(C426,'Allow&amp;Disa Exp by Truelayer cat'!$B:$B,'Allow&amp;Disa Exp by Truelayer cat'!$E:$E)</f>
        <v>Deduct from expenses</v>
      </c>
    </row>
    <row r="427" spans="1:6" x14ac:dyDescent="0.25">
      <c r="A427" t="s">
        <v>1079</v>
      </c>
      <c r="B427" t="s">
        <v>1374</v>
      </c>
      <c r="C427" t="s">
        <v>487</v>
      </c>
      <c r="D427" t="str">
        <f>_xlfn.XLOOKUP(C427,'Allow&amp;Disa Exp by Truelayer cat'!$B:$B,'Allow&amp;Disa Exp by Truelayer cat'!$C:$C)</f>
        <v>Allowable</v>
      </c>
      <c r="E427" s="116">
        <f>_xlfn.XLOOKUP(C427,'Allow&amp;Disa Exp by Truelayer cat'!$B:$B,'Allow&amp;Disa Exp by Truelayer cat'!$D:$D)</f>
        <v>0</v>
      </c>
      <c r="F427" t="str">
        <f>_xlfn.XLOOKUP(C427,'Allow&amp;Disa Exp by Truelayer cat'!$B:$B,'Allow&amp;Disa Exp by Truelayer cat'!$E:$E)</f>
        <v>Deduct from expenses</v>
      </c>
    </row>
    <row r="428" spans="1:6" x14ac:dyDescent="0.25">
      <c r="A428" t="s">
        <v>1079</v>
      </c>
      <c r="B428" t="s">
        <v>1375</v>
      </c>
      <c r="C428" t="s">
        <v>487</v>
      </c>
      <c r="D428" t="str">
        <f>_xlfn.XLOOKUP(C428,'Allow&amp;Disa Exp by Truelayer cat'!$B:$B,'Allow&amp;Disa Exp by Truelayer cat'!$C:$C)</f>
        <v>Allowable</v>
      </c>
      <c r="E428" s="116">
        <f>_xlfn.XLOOKUP(C428,'Allow&amp;Disa Exp by Truelayer cat'!$B:$B,'Allow&amp;Disa Exp by Truelayer cat'!$D:$D)</f>
        <v>0</v>
      </c>
      <c r="F428" t="str">
        <f>_xlfn.XLOOKUP(C428,'Allow&amp;Disa Exp by Truelayer cat'!$B:$B,'Allow&amp;Disa Exp by Truelayer cat'!$E:$E)</f>
        <v>Deduct from expenses</v>
      </c>
    </row>
    <row r="429" spans="1:6" x14ac:dyDescent="0.25">
      <c r="A429" t="s">
        <v>1079</v>
      </c>
      <c r="B429" t="s">
        <v>1376</v>
      </c>
      <c r="C429" t="s">
        <v>487</v>
      </c>
      <c r="D429" t="str">
        <f>_xlfn.XLOOKUP(C429,'Allow&amp;Disa Exp by Truelayer cat'!$B:$B,'Allow&amp;Disa Exp by Truelayer cat'!$C:$C)</f>
        <v>Allowable</v>
      </c>
      <c r="E429" s="116">
        <f>_xlfn.XLOOKUP(C429,'Allow&amp;Disa Exp by Truelayer cat'!$B:$B,'Allow&amp;Disa Exp by Truelayer cat'!$D:$D)</f>
        <v>0</v>
      </c>
      <c r="F429" t="str">
        <f>_xlfn.XLOOKUP(C429,'Allow&amp;Disa Exp by Truelayer cat'!$B:$B,'Allow&amp;Disa Exp by Truelayer cat'!$E:$E)</f>
        <v>Deduct from expenses</v>
      </c>
    </row>
    <row r="430" spans="1:6" x14ac:dyDescent="0.25">
      <c r="A430" t="s">
        <v>1079</v>
      </c>
      <c r="B430" t="s">
        <v>1377</v>
      </c>
      <c r="C430" t="s">
        <v>487</v>
      </c>
      <c r="D430" t="str">
        <f>_xlfn.XLOOKUP(C430,'Allow&amp;Disa Exp by Truelayer cat'!$B:$B,'Allow&amp;Disa Exp by Truelayer cat'!$C:$C)</f>
        <v>Allowable</v>
      </c>
      <c r="E430" s="116">
        <f>_xlfn.XLOOKUP(C430,'Allow&amp;Disa Exp by Truelayer cat'!$B:$B,'Allow&amp;Disa Exp by Truelayer cat'!$D:$D)</f>
        <v>0</v>
      </c>
      <c r="F430" t="str">
        <f>_xlfn.XLOOKUP(C430,'Allow&amp;Disa Exp by Truelayer cat'!$B:$B,'Allow&amp;Disa Exp by Truelayer cat'!$E:$E)</f>
        <v>Deduct from expenses</v>
      </c>
    </row>
    <row r="431" spans="1:6" x14ac:dyDescent="0.25">
      <c r="A431" t="s">
        <v>1079</v>
      </c>
      <c r="B431" t="s">
        <v>1378</v>
      </c>
      <c r="C431" t="s">
        <v>487</v>
      </c>
      <c r="D431" t="str">
        <f>_xlfn.XLOOKUP(C431,'Allow&amp;Disa Exp by Truelayer cat'!$B:$B,'Allow&amp;Disa Exp by Truelayer cat'!$C:$C)</f>
        <v>Allowable</v>
      </c>
      <c r="E431" s="116">
        <f>_xlfn.XLOOKUP(C431,'Allow&amp;Disa Exp by Truelayer cat'!$B:$B,'Allow&amp;Disa Exp by Truelayer cat'!$D:$D)</f>
        <v>0</v>
      </c>
      <c r="F431" t="str">
        <f>_xlfn.XLOOKUP(C431,'Allow&amp;Disa Exp by Truelayer cat'!$B:$B,'Allow&amp;Disa Exp by Truelayer cat'!$E:$E)</f>
        <v>Deduct from expenses</v>
      </c>
    </row>
    <row r="432" spans="1:6" x14ac:dyDescent="0.25">
      <c r="A432" t="s">
        <v>1079</v>
      </c>
      <c r="B432" t="s">
        <v>1379</v>
      </c>
      <c r="C432" t="s">
        <v>487</v>
      </c>
      <c r="D432" t="str">
        <f>_xlfn.XLOOKUP(C432,'Allow&amp;Disa Exp by Truelayer cat'!$B:$B,'Allow&amp;Disa Exp by Truelayer cat'!$C:$C)</f>
        <v>Allowable</v>
      </c>
      <c r="E432" s="116">
        <f>_xlfn.XLOOKUP(C432,'Allow&amp;Disa Exp by Truelayer cat'!$B:$B,'Allow&amp;Disa Exp by Truelayer cat'!$D:$D)</f>
        <v>0</v>
      </c>
      <c r="F432" t="str">
        <f>_xlfn.XLOOKUP(C432,'Allow&amp;Disa Exp by Truelayer cat'!$B:$B,'Allow&amp;Disa Exp by Truelayer cat'!$E:$E)</f>
        <v>Deduct from expenses</v>
      </c>
    </row>
    <row r="433" spans="1:6" x14ac:dyDescent="0.25">
      <c r="A433" t="s">
        <v>1079</v>
      </c>
      <c r="B433" t="s">
        <v>1380</v>
      </c>
      <c r="C433" t="s">
        <v>487</v>
      </c>
      <c r="D433" t="str">
        <f>_xlfn.XLOOKUP(C433,'Allow&amp;Disa Exp by Truelayer cat'!$B:$B,'Allow&amp;Disa Exp by Truelayer cat'!$C:$C)</f>
        <v>Allowable</v>
      </c>
      <c r="E433" s="116">
        <f>_xlfn.XLOOKUP(C433,'Allow&amp;Disa Exp by Truelayer cat'!$B:$B,'Allow&amp;Disa Exp by Truelayer cat'!$D:$D)</f>
        <v>0</v>
      </c>
      <c r="F433" t="str">
        <f>_xlfn.XLOOKUP(C433,'Allow&amp;Disa Exp by Truelayer cat'!$B:$B,'Allow&amp;Disa Exp by Truelayer cat'!$E:$E)</f>
        <v>Deduct from expenses</v>
      </c>
    </row>
    <row r="434" spans="1:6" x14ac:dyDescent="0.25">
      <c r="A434" t="s">
        <v>1079</v>
      </c>
      <c r="B434" t="s">
        <v>1381</v>
      </c>
      <c r="C434" t="s">
        <v>487</v>
      </c>
      <c r="D434" t="str">
        <f>_xlfn.XLOOKUP(C434,'Allow&amp;Disa Exp by Truelayer cat'!$B:$B,'Allow&amp;Disa Exp by Truelayer cat'!$C:$C)</f>
        <v>Allowable</v>
      </c>
      <c r="E434" s="116">
        <f>_xlfn.XLOOKUP(C434,'Allow&amp;Disa Exp by Truelayer cat'!$B:$B,'Allow&amp;Disa Exp by Truelayer cat'!$D:$D)</f>
        <v>0</v>
      </c>
      <c r="F434" t="str">
        <f>_xlfn.XLOOKUP(C434,'Allow&amp;Disa Exp by Truelayer cat'!$B:$B,'Allow&amp;Disa Exp by Truelayer cat'!$E:$E)</f>
        <v>Deduct from expenses</v>
      </c>
    </row>
    <row r="435" spans="1:6" x14ac:dyDescent="0.25">
      <c r="A435" t="s">
        <v>1079</v>
      </c>
      <c r="B435" t="s">
        <v>1382</v>
      </c>
      <c r="C435" t="s">
        <v>487</v>
      </c>
      <c r="D435" t="str">
        <f>_xlfn.XLOOKUP(C435,'Allow&amp;Disa Exp by Truelayer cat'!$B:$B,'Allow&amp;Disa Exp by Truelayer cat'!$C:$C)</f>
        <v>Allowable</v>
      </c>
      <c r="E435" s="116">
        <f>_xlfn.XLOOKUP(C435,'Allow&amp;Disa Exp by Truelayer cat'!$B:$B,'Allow&amp;Disa Exp by Truelayer cat'!$D:$D)</f>
        <v>0</v>
      </c>
      <c r="F435" t="str">
        <f>_xlfn.XLOOKUP(C435,'Allow&amp;Disa Exp by Truelayer cat'!$B:$B,'Allow&amp;Disa Exp by Truelayer cat'!$E:$E)</f>
        <v>Deduct from expenses</v>
      </c>
    </row>
    <row r="436" spans="1:6" x14ac:dyDescent="0.25">
      <c r="A436" t="s">
        <v>1079</v>
      </c>
      <c r="B436" t="s">
        <v>1383</v>
      </c>
      <c r="C436" t="s">
        <v>487</v>
      </c>
      <c r="D436" t="str">
        <f>_xlfn.XLOOKUP(C436,'Allow&amp;Disa Exp by Truelayer cat'!$B:$B,'Allow&amp;Disa Exp by Truelayer cat'!$C:$C)</f>
        <v>Allowable</v>
      </c>
      <c r="E436" s="116">
        <f>_xlfn.XLOOKUP(C436,'Allow&amp;Disa Exp by Truelayer cat'!$B:$B,'Allow&amp;Disa Exp by Truelayer cat'!$D:$D)</f>
        <v>0</v>
      </c>
      <c r="F436" t="str">
        <f>_xlfn.XLOOKUP(C436,'Allow&amp;Disa Exp by Truelayer cat'!$B:$B,'Allow&amp;Disa Exp by Truelayer cat'!$E:$E)</f>
        <v>Deduct from expenses</v>
      </c>
    </row>
    <row r="437" spans="1:6" x14ac:dyDescent="0.25">
      <c r="A437" t="s">
        <v>1079</v>
      </c>
      <c r="B437" t="s">
        <v>1384</v>
      </c>
      <c r="C437" t="s">
        <v>487</v>
      </c>
      <c r="D437" t="str">
        <f>_xlfn.XLOOKUP(C437,'Allow&amp;Disa Exp by Truelayer cat'!$B:$B,'Allow&amp;Disa Exp by Truelayer cat'!$C:$C)</f>
        <v>Allowable</v>
      </c>
      <c r="E437" s="116">
        <f>_xlfn.XLOOKUP(C437,'Allow&amp;Disa Exp by Truelayer cat'!$B:$B,'Allow&amp;Disa Exp by Truelayer cat'!$D:$D)</f>
        <v>0</v>
      </c>
      <c r="F437" t="str">
        <f>_xlfn.XLOOKUP(C437,'Allow&amp;Disa Exp by Truelayer cat'!$B:$B,'Allow&amp;Disa Exp by Truelayer cat'!$E:$E)</f>
        <v>Deduct from expenses</v>
      </c>
    </row>
    <row r="438" spans="1:6" x14ac:dyDescent="0.25">
      <c r="A438" t="s">
        <v>1079</v>
      </c>
      <c r="B438" t="s">
        <v>1385</v>
      </c>
      <c r="C438" t="s">
        <v>487</v>
      </c>
      <c r="D438" t="str">
        <f>_xlfn.XLOOKUP(C438,'Allow&amp;Disa Exp by Truelayer cat'!$B:$B,'Allow&amp;Disa Exp by Truelayer cat'!$C:$C)</f>
        <v>Allowable</v>
      </c>
      <c r="E438" s="116">
        <f>_xlfn.XLOOKUP(C438,'Allow&amp;Disa Exp by Truelayer cat'!$B:$B,'Allow&amp;Disa Exp by Truelayer cat'!$D:$D)</f>
        <v>0</v>
      </c>
      <c r="F438" t="str">
        <f>_xlfn.XLOOKUP(C438,'Allow&amp;Disa Exp by Truelayer cat'!$B:$B,'Allow&amp;Disa Exp by Truelayer cat'!$E:$E)</f>
        <v>Deduct from expenses</v>
      </c>
    </row>
    <row r="439" spans="1:6" x14ac:dyDescent="0.25">
      <c r="A439" t="s">
        <v>1079</v>
      </c>
      <c r="B439" t="s">
        <v>1386</v>
      </c>
      <c r="C439" t="s">
        <v>487</v>
      </c>
      <c r="D439" t="str">
        <f>_xlfn.XLOOKUP(C439,'Allow&amp;Disa Exp by Truelayer cat'!$B:$B,'Allow&amp;Disa Exp by Truelayer cat'!$C:$C)</f>
        <v>Allowable</v>
      </c>
      <c r="E439" s="116">
        <f>_xlfn.XLOOKUP(C439,'Allow&amp;Disa Exp by Truelayer cat'!$B:$B,'Allow&amp;Disa Exp by Truelayer cat'!$D:$D)</f>
        <v>0</v>
      </c>
      <c r="F439" t="str">
        <f>_xlfn.XLOOKUP(C439,'Allow&amp;Disa Exp by Truelayer cat'!$B:$B,'Allow&amp;Disa Exp by Truelayer cat'!$E:$E)</f>
        <v>Deduct from expenses</v>
      </c>
    </row>
    <row r="440" spans="1:6" x14ac:dyDescent="0.25">
      <c r="A440" t="s">
        <v>1079</v>
      </c>
      <c r="B440" t="s">
        <v>1387</v>
      </c>
      <c r="C440" t="s">
        <v>487</v>
      </c>
      <c r="D440" t="str">
        <f>_xlfn.XLOOKUP(C440,'Allow&amp;Disa Exp by Truelayer cat'!$B:$B,'Allow&amp;Disa Exp by Truelayer cat'!$C:$C)</f>
        <v>Allowable</v>
      </c>
      <c r="E440" s="116">
        <f>_xlfn.XLOOKUP(C440,'Allow&amp;Disa Exp by Truelayer cat'!$B:$B,'Allow&amp;Disa Exp by Truelayer cat'!$D:$D)</f>
        <v>0</v>
      </c>
      <c r="F440" t="str">
        <f>_xlfn.XLOOKUP(C440,'Allow&amp;Disa Exp by Truelayer cat'!$B:$B,'Allow&amp;Disa Exp by Truelayer cat'!$E:$E)</f>
        <v>Deduct from expenses</v>
      </c>
    </row>
    <row r="441" spans="1:6" x14ac:dyDescent="0.25">
      <c r="A441" t="s">
        <v>1079</v>
      </c>
      <c r="B441" t="s">
        <v>1388</v>
      </c>
      <c r="C441" t="s">
        <v>487</v>
      </c>
      <c r="D441" t="str">
        <f>_xlfn.XLOOKUP(C441,'Allow&amp;Disa Exp by Truelayer cat'!$B:$B,'Allow&amp;Disa Exp by Truelayer cat'!$C:$C)</f>
        <v>Allowable</v>
      </c>
      <c r="E441" s="116">
        <f>_xlfn.XLOOKUP(C441,'Allow&amp;Disa Exp by Truelayer cat'!$B:$B,'Allow&amp;Disa Exp by Truelayer cat'!$D:$D)</f>
        <v>0</v>
      </c>
      <c r="F441" t="str">
        <f>_xlfn.XLOOKUP(C441,'Allow&amp;Disa Exp by Truelayer cat'!$B:$B,'Allow&amp;Disa Exp by Truelayer cat'!$E:$E)</f>
        <v>Deduct from expenses</v>
      </c>
    </row>
    <row r="442" spans="1:6" x14ac:dyDescent="0.25">
      <c r="A442" t="s">
        <v>1079</v>
      </c>
      <c r="B442" t="s">
        <v>1389</v>
      </c>
      <c r="C442" t="s">
        <v>487</v>
      </c>
      <c r="D442" t="str">
        <f>_xlfn.XLOOKUP(C442,'Allow&amp;Disa Exp by Truelayer cat'!$B:$B,'Allow&amp;Disa Exp by Truelayer cat'!$C:$C)</f>
        <v>Allowable</v>
      </c>
      <c r="E442" s="116">
        <f>_xlfn.XLOOKUP(C442,'Allow&amp;Disa Exp by Truelayer cat'!$B:$B,'Allow&amp;Disa Exp by Truelayer cat'!$D:$D)</f>
        <v>0</v>
      </c>
      <c r="F442" t="str">
        <f>_xlfn.XLOOKUP(C442,'Allow&amp;Disa Exp by Truelayer cat'!$B:$B,'Allow&amp;Disa Exp by Truelayer cat'!$E:$E)</f>
        <v>Deduct from expenses</v>
      </c>
    </row>
    <row r="443" spans="1:6" x14ac:dyDescent="0.25">
      <c r="A443" t="s">
        <v>1079</v>
      </c>
      <c r="B443" t="s">
        <v>1390</v>
      </c>
      <c r="C443" t="s">
        <v>487</v>
      </c>
      <c r="D443" t="str">
        <f>_xlfn.XLOOKUP(C443,'Allow&amp;Disa Exp by Truelayer cat'!$B:$B,'Allow&amp;Disa Exp by Truelayer cat'!$C:$C)</f>
        <v>Allowable</v>
      </c>
      <c r="E443" s="116">
        <f>_xlfn.XLOOKUP(C443,'Allow&amp;Disa Exp by Truelayer cat'!$B:$B,'Allow&amp;Disa Exp by Truelayer cat'!$D:$D)</f>
        <v>0</v>
      </c>
      <c r="F443" t="str">
        <f>_xlfn.XLOOKUP(C443,'Allow&amp;Disa Exp by Truelayer cat'!$B:$B,'Allow&amp;Disa Exp by Truelayer cat'!$E:$E)</f>
        <v>Deduct from expenses</v>
      </c>
    </row>
    <row r="444" spans="1:6" x14ac:dyDescent="0.25">
      <c r="A444" t="s">
        <v>1079</v>
      </c>
      <c r="B444" t="s">
        <v>1391</v>
      </c>
      <c r="C444" t="s">
        <v>487</v>
      </c>
      <c r="D444" t="str">
        <f>_xlfn.XLOOKUP(C444,'Allow&amp;Disa Exp by Truelayer cat'!$B:$B,'Allow&amp;Disa Exp by Truelayer cat'!$C:$C)</f>
        <v>Allowable</v>
      </c>
      <c r="E444" s="116">
        <f>_xlfn.XLOOKUP(C444,'Allow&amp;Disa Exp by Truelayer cat'!$B:$B,'Allow&amp;Disa Exp by Truelayer cat'!$D:$D)</f>
        <v>0</v>
      </c>
      <c r="F444" t="str">
        <f>_xlfn.XLOOKUP(C444,'Allow&amp;Disa Exp by Truelayer cat'!$B:$B,'Allow&amp;Disa Exp by Truelayer cat'!$E:$E)</f>
        <v>Deduct from expenses</v>
      </c>
    </row>
    <row r="445" spans="1:6" x14ac:dyDescent="0.25">
      <c r="A445" t="s">
        <v>1079</v>
      </c>
      <c r="B445" t="s">
        <v>1392</v>
      </c>
      <c r="C445" t="s">
        <v>487</v>
      </c>
      <c r="D445" t="str">
        <f>_xlfn.XLOOKUP(C445,'Allow&amp;Disa Exp by Truelayer cat'!$B:$B,'Allow&amp;Disa Exp by Truelayer cat'!$C:$C)</f>
        <v>Allowable</v>
      </c>
      <c r="E445" s="116">
        <f>_xlfn.XLOOKUP(C445,'Allow&amp;Disa Exp by Truelayer cat'!$B:$B,'Allow&amp;Disa Exp by Truelayer cat'!$D:$D)</f>
        <v>0</v>
      </c>
      <c r="F445" t="str">
        <f>_xlfn.XLOOKUP(C445,'Allow&amp;Disa Exp by Truelayer cat'!$B:$B,'Allow&amp;Disa Exp by Truelayer cat'!$E:$E)</f>
        <v>Deduct from expenses</v>
      </c>
    </row>
    <row r="446" spans="1:6" x14ac:dyDescent="0.25">
      <c r="A446" t="s">
        <v>1079</v>
      </c>
      <c r="B446" t="s">
        <v>1393</v>
      </c>
      <c r="C446" t="s">
        <v>487</v>
      </c>
      <c r="D446" t="str">
        <f>_xlfn.XLOOKUP(C446,'Allow&amp;Disa Exp by Truelayer cat'!$B:$B,'Allow&amp;Disa Exp by Truelayer cat'!$C:$C)</f>
        <v>Allowable</v>
      </c>
      <c r="E446" s="116">
        <f>_xlfn.XLOOKUP(C446,'Allow&amp;Disa Exp by Truelayer cat'!$B:$B,'Allow&amp;Disa Exp by Truelayer cat'!$D:$D)</f>
        <v>0</v>
      </c>
      <c r="F446" t="str">
        <f>_xlfn.XLOOKUP(C446,'Allow&amp;Disa Exp by Truelayer cat'!$B:$B,'Allow&amp;Disa Exp by Truelayer cat'!$E:$E)</f>
        <v>Deduct from expenses</v>
      </c>
    </row>
    <row r="447" spans="1:6" x14ac:dyDescent="0.25">
      <c r="A447" t="s">
        <v>1079</v>
      </c>
      <c r="B447" t="s">
        <v>1394</v>
      </c>
      <c r="C447" t="s">
        <v>487</v>
      </c>
      <c r="D447" t="str">
        <f>_xlfn.XLOOKUP(C447,'Allow&amp;Disa Exp by Truelayer cat'!$B:$B,'Allow&amp;Disa Exp by Truelayer cat'!$C:$C)</f>
        <v>Allowable</v>
      </c>
      <c r="E447" s="116">
        <f>_xlfn.XLOOKUP(C447,'Allow&amp;Disa Exp by Truelayer cat'!$B:$B,'Allow&amp;Disa Exp by Truelayer cat'!$D:$D)</f>
        <v>0</v>
      </c>
      <c r="F447" t="str">
        <f>_xlfn.XLOOKUP(C447,'Allow&amp;Disa Exp by Truelayer cat'!$B:$B,'Allow&amp;Disa Exp by Truelayer cat'!$E:$E)</f>
        <v>Deduct from expenses</v>
      </c>
    </row>
    <row r="448" spans="1:6" x14ac:dyDescent="0.25">
      <c r="A448" t="s">
        <v>1079</v>
      </c>
      <c r="B448" t="s">
        <v>1395</v>
      </c>
      <c r="C448" t="s">
        <v>487</v>
      </c>
      <c r="D448" t="str">
        <f>_xlfn.XLOOKUP(C448,'Allow&amp;Disa Exp by Truelayer cat'!$B:$B,'Allow&amp;Disa Exp by Truelayer cat'!$C:$C)</f>
        <v>Allowable</v>
      </c>
      <c r="E448" s="116">
        <f>_xlfn.XLOOKUP(C448,'Allow&amp;Disa Exp by Truelayer cat'!$B:$B,'Allow&amp;Disa Exp by Truelayer cat'!$D:$D)</f>
        <v>0</v>
      </c>
      <c r="F448" t="str">
        <f>_xlfn.XLOOKUP(C448,'Allow&amp;Disa Exp by Truelayer cat'!$B:$B,'Allow&amp;Disa Exp by Truelayer cat'!$E:$E)</f>
        <v>Deduct from expenses</v>
      </c>
    </row>
    <row r="449" spans="1:6" x14ac:dyDescent="0.25">
      <c r="A449" t="s">
        <v>1079</v>
      </c>
      <c r="B449" t="s">
        <v>1396</v>
      </c>
      <c r="C449" t="s">
        <v>487</v>
      </c>
      <c r="D449" t="str">
        <f>_xlfn.XLOOKUP(C449,'Allow&amp;Disa Exp by Truelayer cat'!$B:$B,'Allow&amp;Disa Exp by Truelayer cat'!$C:$C)</f>
        <v>Allowable</v>
      </c>
      <c r="E449" s="116">
        <f>_xlfn.XLOOKUP(C449,'Allow&amp;Disa Exp by Truelayer cat'!$B:$B,'Allow&amp;Disa Exp by Truelayer cat'!$D:$D)</f>
        <v>0</v>
      </c>
      <c r="F449" t="str">
        <f>_xlfn.XLOOKUP(C449,'Allow&amp;Disa Exp by Truelayer cat'!$B:$B,'Allow&amp;Disa Exp by Truelayer cat'!$E:$E)</f>
        <v>Deduct from expenses</v>
      </c>
    </row>
    <row r="450" spans="1:6" x14ac:dyDescent="0.25">
      <c r="A450" t="s">
        <v>1079</v>
      </c>
      <c r="B450" t="s">
        <v>1397</v>
      </c>
      <c r="C450" t="s">
        <v>487</v>
      </c>
      <c r="D450" t="str">
        <f>_xlfn.XLOOKUP(C450,'Allow&amp;Disa Exp by Truelayer cat'!$B:$B,'Allow&amp;Disa Exp by Truelayer cat'!$C:$C)</f>
        <v>Allowable</v>
      </c>
      <c r="E450" s="116">
        <f>_xlfn.XLOOKUP(C450,'Allow&amp;Disa Exp by Truelayer cat'!$B:$B,'Allow&amp;Disa Exp by Truelayer cat'!$D:$D)</f>
        <v>0</v>
      </c>
      <c r="F450" t="str">
        <f>_xlfn.XLOOKUP(C450,'Allow&amp;Disa Exp by Truelayer cat'!$B:$B,'Allow&amp;Disa Exp by Truelayer cat'!$E:$E)</f>
        <v>Deduct from expenses</v>
      </c>
    </row>
    <row r="451" spans="1:6" x14ac:dyDescent="0.25">
      <c r="A451" t="s">
        <v>1079</v>
      </c>
      <c r="B451" t="s">
        <v>1398</v>
      </c>
      <c r="C451" t="s">
        <v>487</v>
      </c>
      <c r="D451" t="str">
        <f>_xlfn.XLOOKUP(C451,'Allow&amp;Disa Exp by Truelayer cat'!$B:$B,'Allow&amp;Disa Exp by Truelayer cat'!$C:$C)</f>
        <v>Allowable</v>
      </c>
      <c r="E451" s="116">
        <f>_xlfn.XLOOKUP(C451,'Allow&amp;Disa Exp by Truelayer cat'!$B:$B,'Allow&amp;Disa Exp by Truelayer cat'!$D:$D)</f>
        <v>0</v>
      </c>
      <c r="F451" t="str">
        <f>_xlfn.XLOOKUP(C451,'Allow&amp;Disa Exp by Truelayer cat'!$B:$B,'Allow&amp;Disa Exp by Truelayer cat'!$E:$E)</f>
        <v>Deduct from expenses</v>
      </c>
    </row>
    <row r="452" spans="1:6" x14ac:dyDescent="0.25">
      <c r="A452" t="s">
        <v>1079</v>
      </c>
      <c r="B452" t="s">
        <v>1399</v>
      </c>
      <c r="C452" t="s">
        <v>487</v>
      </c>
      <c r="D452" t="str">
        <f>_xlfn.XLOOKUP(C452,'Allow&amp;Disa Exp by Truelayer cat'!$B:$B,'Allow&amp;Disa Exp by Truelayer cat'!$C:$C)</f>
        <v>Allowable</v>
      </c>
      <c r="E452" s="116">
        <f>_xlfn.XLOOKUP(C452,'Allow&amp;Disa Exp by Truelayer cat'!$B:$B,'Allow&amp;Disa Exp by Truelayer cat'!$D:$D)</f>
        <v>0</v>
      </c>
      <c r="F452" t="str">
        <f>_xlfn.XLOOKUP(C452,'Allow&amp;Disa Exp by Truelayer cat'!$B:$B,'Allow&amp;Disa Exp by Truelayer cat'!$E:$E)</f>
        <v>Deduct from expenses</v>
      </c>
    </row>
    <row r="453" spans="1:6" x14ac:dyDescent="0.25">
      <c r="A453" t="s">
        <v>1079</v>
      </c>
      <c r="B453" t="s">
        <v>1400</v>
      </c>
      <c r="C453" t="s">
        <v>487</v>
      </c>
      <c r="D453" t="str">
        <f>_xlfn.XLOOKUP(C453,'Allow&amp;Disa Exp by Truelayer cat'!$B:$B,'Allow&amp;Disa Exp by Truelayer cat'!$C:$C)</f>
        <v>Allowable</v>
      </c>
      <c r="E453" s="116">
        <f>_xlfn.XLOOKUP(C453,'Allow&amp;Disa Exp by Truelayer cat'!$B:$B,'Allow&amp;Disa Exp by Truelayer cat'!$D:$D)</f>
        <v>0</v>
      </c>
      <c r="F453" t="str">
        <f>_xlfn.XLOOKUP(C453,'Allow&amp;Disa Exp by Truelayer cat'!$B:$B,'Allow&amp;Disa Exp by Truelayer cat'!$E:$E)</f>
        <v>Deduct from expenses</v>
      </c>
    </row>
    <row r="454" spans="1:6" x14ac:dyDescent="0.25">
      <c r="A454" t="s">
        <v>1079</v>
      </c>
      <c r="B454" t="s">
        <v>1401</v>
      </c>
      <c r="C454" t="s">
        <v>487</v>
      </c>
      <c r="D454" t="str">
        <f>_xlfn.XLOOKUP(C454,'Allow&amp;Disa Exp by Truelayer cat'!$B:$B,'Allow&amp;Disa Exp by Truelayer cat'!$C:$C)</f>
        <v>Allowable</v>
      </c>
      <c r="E454" s="116">
        <f>_xlfn.XLOOKUP(C454,'Allow&amp;Disa Exp by Truelayer cat'!$B:$B,'Allow&amp;Disa Exp by Truelayer cat'!$D:$D)</f>
        <v>0</v>
      </c>
      <c r="F454" t="str">
        <f>_xlfn.XLOOKUP(C454,'Allow&amp;Disa Exp by Truelayer cat'!$B:$B,'Allow&amp;Disa Exp by Truelayer cat'!$E:$E)</f>
        <v>Deduct from expenses</v>
      </c>
    </row>
    <row r="455" spans="1:6" x14ac:dyDescent="0.25">
      <c r="A455" t="s">
        <v>1079</v>
      </c>
      <c r="B455" t="s">
        <v>1402</v>
      </c>
      <c r="C455" t="s">
        <v>487</v>
      </c>
      <c r="D455" t="str">
        <f>_xlfn.XLOOKUP(C455,'Allow&amp;Disa Exp by Truelayer cat'!$B:$B,'Allow&amp;Disa Exp by Truelayer cat'!$C:$C)</f>
        <v>Allowable</v>
      </c>
      <c r="E455" s="116">
        <f>_xlfn.XLOOKUP(C455,'Allow&amp;Disa Exp by Truelayer cat'!$B:$B,'Allow&amp;Disa Exp by Truelayer cat'!$D:$D)</f>
        <v>0</v>
      </c>
      <c r="F455" t="str">
        <f>_xlfn.XLOOKUP(C455,'Allow&amp;Disa Exp by Truelayer cat'!$B:$B,'Allow&amp;Disa Exp by Truelayer cat'!$E:$E)</f>
        <v>Deduct from expenses</v>
      </c>
    </row>
    <row r="456" spans="1:6" x14ac:dyDescent="0.25">
      <c r="A456" t="s">
        <v>1079</v>
      </c>
      <c r="B456" t="s">
        <v>1403</v>
      </c>
      <c r="C456" t="s">
        <v>487</v>
      </c>
      <c r="D456" t="str">
        <f>_xlfn.XLOOKUP(C456,'Allow&amp;Disa Exp by Truelayer cat'!$B:$B,'Allow&amp;Disa Exp by Truelayer cat'!$C:$C)</f>
        <v>Allowable</v>
      </c>
      <c r="E456" s="116">
        <f>_xlfn.XLOOKUP(C456,'Allow&amp;Disa Exp by Truelayer cat'!$B:$B,'Allow&amp;Disa Exp by Truelayer cat'!$D:$D)</f>
        <v>0</v>
      </c>
      <c r="F456" t="str">
        <f>_xlfn.XLOOKUP(C456,'Allow&amp;Disa Exp by Truelayer cat'!$B:$B,'Allow&amp;Disa Exp by Truelayer cat'!$E:$E)</f>
        <v>Deduct from expenses</v>
      </c>
    </row>
    <row r="457" spans="1:6" x14ac:dyDescent="0.25">
      <c r="A457" t="s">
        <v>1079</v>
      </c>
      <c r="B457" t="s">
        <v>1404</v>
      </c>
      <c r="C457" t="s">
        <v>487</v>
      </c>
      <c r="D457" t="str">
        <f>_xlfn.XLOOKUP(C457,'Allow&amp;Disa Exp by Truelayer cat'!$B:$B,'Allow&amp;Disa Exp by Truelayer cat'!$C:$C)</f>
        <v>Allowable</v>
      </c>
      <c r="E457" s="116">
        <f>_xlfn.XLOOKUP(C457,'Allow&amp;Disa Exp by Truelayer cat'!$B:$B,'Allow&amp;Disa Exp by Truelayer cat'!$D:$D)</f>
        <v>0</v>
      </c>
      <c r="F457" t="str">
        <f>_xlfn.XLOOKUP(C457,'Allow&amp;Disa Exp by Truelayer cat'!$B:$B,'Allow&amp;Disa Exp by Truelayer cat'!$E:$E)</f>
        <v>Deduct from expenses</v>
      </c>
    </row>
    <row r="458" spans="1:6" x14ac:dyDescent="0.25">
      <c r="A458" t="s">
        <v>1079</v>
      </c>
      <c r="B458" t="s">
        <v>1405</v>
      </c>
      <c r="C458" t="s">
        <v>487</v>
      </c>
      <c r="D458" t="str">
        <f>_xlfn.XLOOKUP(C458,'Allow&amp;Disa Exp by Truelayer cat'!$B:$B,'Allow&amp;Disa Exp by Truelayer cat'!$C:$C)</f>
        <v>Allowable</v>
      </c>
      <c r="E458" s="116">
        <f>_xlfn.XLOOKUP(C458,'Allow&amp;Disa Exp by Truelayer cat'!$B:$B,'Allow&amp;Disa Exp by Truelayer cat'!$D:$D)</f>
        <v>0</v>
      </c>
      <c r="F458" t="str">
        <f>_xlfn.XLOOKUP(C458,'Allow&amp;Disa Exp by Truelayer cat'!$B:$B,'Allow&amp;Disa Exp by Truelayer cat'!$E:$E)</f>
        <v>Deduct from expenses</v>
      </c>
    </row>
    <row r="459" spans="1:6" x14ac:dyDescent="0.25">
      <c r="A459" t="s">
        <v>1079</v>
      </c>
      <c r="B459" t="s">
        <v>1406</v>
      </c>
      <c r="C459" t="s">
        <v>487</v>
      </c>
      <c r="D459" t="str">
        <f>_xlfn.XLOOKUP(C459,'Allow&amp;Disa Exp by Truelayer cat'!$B:$B,'Allow&amp;Disa Exp by Truelayer cat'!$C:$C)</f>
        <v>Allowable</v>
      </c>
      <c r="E459" s="116">
        <f>_xlfn.XLOOKUP(C459,'Allow&amp;Disa Exp by Truelayer cat'!$B:$B,'Allow&amp;Disa Exp by Truelayer cat'!$D:$D)</f>
        <v>0</v>
      </c>
      <c r="F459" t="str">
        <f>_xlfn.XLOOKUP(C459,'Allow&amp;Disa Exp by Truelayer cat'!$B:$B,'Allow&amp;Disa Exp by Truelayer cat'!$E:$E)</f>
        <v>Deduct from expenses</v>
      </c>
    </row>
    <row r="460" spans="1:6" x14ac:dyDescent="0.25">
      <c r="A460" t="s">
        <v>1079</v>
      </c>
      <c r="B460" t="s">
        <v>1407</v>
      </c>
      <c r="C460" t="s">
        <v>487</v>
      </c>
      <c r="D460" t="str">
        <f>_xlfn.XLOOKUP(C460,'Allow&amp;Disa Exp by Truelayer cat'!$B:$B,'Allow&amp;Disa Exp by Truelayer cat'!$C:$C)</f>
        <v>Allowable</v>
      </c>
      <c r="E460" s="116">
        <f>_xlfn.XLOOKUP(C460,'Allow&amp;Disa Exp by Truelayer cat'!$B:$B,'Allow&amp;Disa Exp by Truelayer cat'!$D:$D)</f>
        <v>0</v>
      </c>
      <c r="F460" t="str">
        <f>_xlfn.XLOOKUP(C460,'Allow&amp;Disa Exp by Truelayer cat'!$B:$B,'Allow&amp;Disa Exp by Truelayer cat'!$E:$E)</f>
        <v>Deduct from expenses</v>
      </c>
    </row>
    <row r="461" spans="1:6" x14ac:dyDescent="0.25">
      <c r="A461" t="s">
        <v>1079</v>
      </c>
      <c r="B461" t="s">
        <v>1408</v>
      </c>
      <c r="C461" t="s">
        <v>487</v>
      </c>
      <c r="D461" t="str">
        <f>_xlfn.XLOOKUP(C461,'Allow&amp;Disa Exp by Truelayer cat'!$B:$B,'Allow&amp;Disa Exp by Truelayer cat'!$C:$C)</f>
        <v>Allowable</v>
      </c>
      <c r="E461" s="116">
        <f>_xlfn.XLOOKUP(C461,'Allow&amp;Disa Exp by Truelayer cat'!$B:$B,'Allow&amp;Disa Exp by Truelayer cat'!$D:$D)</f>
        <v>0</v>
      </c>
      <c r="F461" t="str">
        <f>_xlfn.XLOOKUP(C461,'Allow&amp;Disa Exp by Truelayer cat'!$B:$B,'Allow&amp;Disa Exp by Truelayer cat'!$E:$E)</f>
        <v>Deduct from expenses</v>
      </c>
    </row>
    <row r="462" spans="1:6" x14ac:dyDescent="0.25">
      <c r="A462" t="s">
        <v>1079</v>
      </c>
      <c r="B462" t="s">
        <v>1409</v>
      </c>
      <c r="C462" t="s">
        <v>487</v>
      </c>
      <c r="D462" t="str">
        <f>_xlfn.XLOOKUP(C462,'Allow&amp;Disa Exp by Truelayer cat'!$B:$B,'Allow&amp;Disa Exp by Truelayer cat'!$C:$C)</f>
        <v>Allowable</v>
      </c>
      <c r="E462" s="116">
        <f>_xlfn.XLOOKUP(C462,'Allow&amp;Disa Exp by Truelayer cat'!$B:$B,'Allow&amp;Disa Exp by Truelayer cat'!$D:$D)</f>
        <v>0</v>
      </c>
      <c r="F462" t="str">
        <f>_xlfn.XLOOKUP(C462,'Allow&amp;Disa Exp by Truelayer cat'!$B:$B,'Allow&amp;Disa Exp by Truelayer cat'!$E:$E)</f>
        <v>Deduct from expenses</v>
      </c>
    </row>
    <row r="463" spans="1:6" x14ac:dyDescent="0.25">
      <c r="A463" t="s">
        <v>1079</v>
      </c>
      <c r="B463" t="s">
        <v>1410</v>
      </c>
      <c r="C463" t="s">
        <v>487</v>
      </c>
      <c r="D463" t="str">
        <f>_xlfn.XLOOKUP(C463,'Allow&amp;Disa Exp by Truelayer cat'!$B:$B,'Allow&amp;Disa Exp by Truelayer cat'!$C:$C)</f>
        <v>Allowable</v>
      </c>
      <c r="E463" s="116">
        <f>_xlfn.XLOOKUP(C463,'Allow&amp;Disa Exp by Truelayer cat'!$B:$B,'Allow&amp;Disa Exp by Truelayer cat'!$D:$D)</f>
        <v>0</v>
      </c>
      <c r="F463" t="str">
        <f>_xlfn.XLOOKUP(C463,'Allow&amp;Disa Exp by Truelayer cat'!$B:$B,'Allow&amp;Disa Exp by Truelayer cat'!$E:$E)</f>
        <v>Deduct from expenses</v>
      </c>
    </row>
    <row r="464" spans="1:6" x14ac:dyDescent="0.25">
      <c r="A464" t="s">
        <v>1079</v>
      </c>
      <c r="B464" t="s">
        <v>1411</v>
      </c>
      <c r="C464" t="s">
        <v>487</v>
      </c>
      <c r="D464" t="str">
        <f>_xlfn.XLOOKUP(C464,'Allow&amp;Disa Exp by Truelayer cat'!$B:$B,'Allow&amp;Disa Exp by Truelayer cat'!$C:$C)</f>
        <v>Allowable</v>
      </c>
      <c r="E464" s="116">
        <f>_xlfn.XLOOKUP(C464,'Allow&amp;Disa Exp by Truelayer cat'!$B:$B,'Allow&amp;Disa Exp by Truelayer cat'!$D:$D)</f>
        <v>0</v>
      </c>
      <c r="F464" t="str">
        <f>_xlfn.XLOOKUP(C464,'Allow&amp;Disa Exp by Truelayer cat'!$B:$B,'Allow&amp;Disa Exp by Truelayer cat'!$E:$E)</f>
        <v>Deduct from expenses</v>
      </c>
    </row>
    <row r="465" spans="1:6" x14ac:dyDescent="0.25">
      <c r="A465" t="s">
        <v>1079</v>
      </c>
      <c r="B465" t="s">
        <v>1412</v>
      </c>
      <c r="C465" t="s">
        <v>487</v>
      </c>
      <c r="D465" t="str">
        <f>_xlfn.XLOOKUP(C465,'Allow&amp;Disa Exp by Truelayer cat'!$B:$B,'Allow&amp;Disa Exp by Truelayer cat'!$C:$C)</f>
        <v>Allowable</v>
      </c>
      <c r="E465" s="116">
        <f>_xlfn.XLOOKUP(C465,'Allow&amp;Disa Exp by Truelayer cat'!$B:$B,'Allow&amp;Disa Exp by Truelayer cat'!$D:$D)</f>
        <v>0</v>
      </c>
      <c r="F465" t="str">
        <f>_xlfn.XLOOKUP(C465,'Allow&amp;Disa Exp by Truelayer cat'!$B:$B,'Allow&amp;Disa Exp by Truelayer cat'!$E:$E)</f>
        <v>Deduct from expenses</v>
      </c>
    </row>
    <row r="466" spans="1:6" x14ac:dyDescent="0.25">
      <c r="A466" t="s">
        <v>1079</v>
      </c>
      <c r="B466" t="s">
        <v>1413</v>
      </c>
      <c r="C466" t="s">
        <v>487</v>
      </c>
      <c r="D466" t="str">
        <f>_xlfn.XLOOKUP(C466,'Allow&amp;Disa Exp by Truelayer cat'!$B:$B,'Allow&amp;Disa Exp by Truelayer cat'!$C:$C)</f>
        <v>Allowable</v>
      </c>
      <c r="E466" s="116">
        <f>_xlfn.XLOOKUP(C466,'Allow&amp;Disa Exp by Truelayer cat'!$B:$B,'Allow&amp;Disa Exp by Truelayer cat'!$D:$D)</f>
        <v>0</v>
      </c>
      <c r="F466" t="str">
        <f>_xlfn.XLOOKUP(C466,'Allow&amp;Disa Exp by Truelayer cat'!$B:$B,'Allow&amp;Disa Exp by Truelayer cat'!$E:$E)</f>
        <v>Deduct from expenses</v>
      </c>
    </row>
    <row r="467" spans="1:6" x14ac:dyDescent="0.25">
      <c r="A467" t="s">
        <v>1079</v>
      </c>
      <c r="B467" t="s">
        <v>1414</v>
      </c>
      <c r="C467" t="s">
        <v>487</v>
      </c>
      <c r="D467" t="str">
        <f>_xlfn.XLOOKUP(C467,'Allow&amp;Disa Exp by Truelayer cat'!$B:$B,'Allow&amp;Disa Exp by Truelayer cat'!$C:$C)</f>
        <v>Allowable</v>
      </c>
      <c r="E467" s="116">
        <f>_xlfn.XLOOKUP(C467,'Allow&amp;Disa Exp by Truelayer cat'!$B:$B,'Allow&amp;Disa Exp by Truelayer cat'!$D:$D)</f>
        <v>0</v>
      </c>
      <c r="F467" t="str">
        <f>_xlfn.XLOOKUP(C467,'Allow&amp;Disa Exp by Truelayer cat'!$B:$B,'Allow&amp;Disa Exp by Truelayer cat'!$E:$E)</f>
        <v>Deduct from expenses</v>
      </c>
    </row>
    <row r="468" spans="1:6" x14ac:dyDescent="0.25">
      <c r="A468" t="s">
        <v>1079</v>
      </c>
      <c r="B468" t="s">
        <v>1415</v>
      </c>
      <c r="C468" t="s">
        <v>487</v>
      </c>
      <c r="D468" t="str">
        <f>_xlfn.XLOOKUP(C468,'Allow&amp;Disa Exp by Truelayer cat'!$B:$B,'Allow&amp;Disa Exp by Truelayer cat'!$C:$C)</f>
        <v>Allowable</v>
      </c>
      <c r="E468" s="116">
        <f>_xlfn.XLOOKUP(C468,'Allow&amp;Disa Exp by Truelayer cat'!$B:$B,'Allow&amp;Disa Exp by Truelayer cat'!$D:$D)</f>
        <v>0</v>
      </c>
      <c r="F468" t="str">
        <f>_xlfn.XLOOKUP(C468,'Allow&amp;Disa Exp by Truelayer cat'!$B:$B,'Allow&amp;Disa Exp by Truelayer cat'!$E:$E)</f>
        <v>Deduct from expenses</v>
      </c>
    </row>
    <row r="469" spans="1:6" x14ac:dyDescent="0.25">
      <c r="A469" t="s">
        <v>1079</v>
      </c>
      <c r="B469" t="s">
        <v>1416</v>
      </c>
      <c r="C469" t="s">
        <v>487</v>
      </c>
      <c r="D469" t="str">
        <f>_xlfn.XLOOKUP(C469,'Allow&amp;Disa Exp by Truelayer cat'!$B:$B,'Allow&amp;Disa Exp by Truelayer cat'!$C:$C)</f>
        <v>Allowable</v>
      </c>
      <c r="E469" s="116">
        <f>_xlfn.XLOOKUP(C469,'Allow&amp;Disa Exp by Truelayer cat'!$B:$B,'Allow&amp;Disa Exp by Truelayer cat'!$D:$D)</f>
        <v>0</v>
      </c>
      <c r="F469" t="str">
        <f>_xlfn.XLOOKUP(C469,'Allow&amp;Disa Exp by Truelayer cat'!$B:$B,'Allow&amp;Disa Exp by Truelayer cat'!$E:$E)</f>
        <v>Deduct from expenses</v>
      </c>
    </row>
    <row r="470" spans="1:6" x14ac:dyDescent="0.25">
      <c r="A470" t="s">
        <v>1079</v>
      </c>
      <c r="B470" t="s">
        <v>1417</v>
      </c>
      <c r="C470" t="s">
        <v>487</v>
      </c>
      <c r="D470" t="str">
        <f>_xlfn.XLOOKUP(C470,'Allow&amp;Disa Exp by Truelayer cat'!$B:$B,'Allow&amp;Disa Exp by Truelayer cat'!$C:$C)</f>
        <v>Allowable</v>
      </c>
      <c r="E470" s="116">
        <f>_xlfn.XLOOKUP(C470,'Allow&amp;Disa Exp by Truelayer cat'!$B:$B,'Allow&amp;Disa Exp by Truelayer cat'!$D:$D)</f>
        <v>0</v>
      </c>
      <c r="F470" t="str">
        <f>_xlfn.XLOOKUP(C470,'Allow&amp;Disa Exp by Truelayer cat'!$B:$B,'Allow&amp;Disa Exp by Truelayer cat'!$E:$E)</f>
        <v>Deduct from expenses</v>
      </c>
    </row>
    <row r="471" spans="1:6" x14ac:dyDescent="0.25">
      <c r="A471" t="s">
        <v>1079</v>
      </c>
      <c r="B471" t="s">
        <v>1418</v>
      </c>
      <c r="C471" t="s">
        <v>487</v>
      </c>
      <c r="D471" t="str">
        <f>_xlfn.XLOOKUP(C471,'Allow&amp;Disa Exp by Truelayer cat'!$B:$B,'Allow&amp;Disa Exp by Truelayer cat'!$C:$C)</f>
        <v>Allowable</v>
      </c>
      <c r="E471" s="116">
        <f>_xlfn.XLOOKUP(C471,'Allow&amp;Disa Exp by Truelayer cat'!$B:$B,'Allow&amp;Disa Exp by Truelayer cat'!$D:$D)</f>
        <v>0</v>
      </c>
      <c r="F471" t="str">
        <f>_xlfn.XLOOKUP(C471,'Allow&amp;Disa Exp by Truelayer cat'!$B:$B,'Allow&amp;Disa Exp by Truelayer cat'!$E:$E)</f>
        <v>Deduct from expenses</v>
      </c>
    </row>
    <row r="472" spans="1:6" x14ac:dyDescent="0.25">
      <c r="A472" t="s">
        <v>1079</v>
      </c>
      <c r="B472" t="s">
        <v>1419</v>
      </c>
      <c r="C472" t="s">
        <v>487</v>
      </c>
      <c r="D472" t="str">
        <f>_xlfn.XLOOKUP(C472,'Allow&amp;Disa Exp by Truelayer cat'!$B:$B,'Allow&amp;Disa Exp by Truelayer cat'!$C:$C)</f>
        <v>Allowable</v>
      </c>
      <c r="E472" s="116">
        <f>_xlfn.XLOOKUP(C472,'Allow&amp;Disa Exp by Truelayer cat'!$B:$B,'Allow&amp;Disa Exp by Truelayer cat'!$D:$D)</f>
        <v>0</v>
      </c>
      <c r="F472" t="str">
        <f>_xlfn.XLOOKUP(C472,'Allow&amp;Disa Exp by Truelayer cat'!$B:$B,'Allow&amp;Disa Exp by Truelayer cat'!$E:$E)</f>
        <v>Deduct from expenses</v>
      </c>
    </row>
    <row r="473" spans="1:6" x14ac:dyDescent="0.25">
      <c r="A473" t="s">
        <v>1079</v>
      </c>
      <c r="B473" t="s">
        <v>1420</v>
      </c>
      <c r="C473" t="s">
        <v>487</v>
      </c>
      <c r="D473" t="str">
        <f>_xlfn.XLOOKUP(C473,'Allow&amp;Disa Exp by Truelayer cat'!$B:$B,'Allow&amp;Disa Exp by Truelayer cat'!$C:$C)</f>
        <v>Allowable</v>
      </c>
      <c r="E473" s="116">
        <f>_xlfn.XLOOKUP(C473,'Allow&amp;Disa Exp by Truelayer cat'!$B:$B,'Allow&amp;Disa Exp by Truelayer cat'!$D:$D)</f>
        <v>0</v>
      </c>
      <c r="F473" t="str">
        <f>_xlfn.XLOOKUP(C473,'Allow&amp;Disa Exp by Truelayer cat'!$B:$B,'Allow&amp;Disa Exp by Truelayer cat'!$E:$E)</f>
        <v>Deduct from expenses</v>
      </c>
    </row>
    <row r="474" spans="1:6" x14ac:dyDescent="0.25">
      <c r="A474" t="s">
        <v>1079</v>
      </c>
      <c r="B474" t="s">
        <v>1421</v>
      </c>
      <c r="C474" t="s">
        <v>487</v>
      </c>
      <c r="D474" t="str">
        <f>_xlfn.XLOOKUP(C474,'Allow&amp;Disa Exp by Truelayer cat'!$B:$B,'Allow&amp;Disa Exp by Truelayer cat'!$C:$C)</f>
        <v>Allowable</v>
      </c>
      <c r="E474" s="116">
        <f>_xlfn.XLOOKUP(C474,'Allow&amp;Disa Exp by Truelayer cat'!$B:$B,'Allow&amp;Disa Exp by Truelayer cat'!$D:$D)</f>
        <v>0</v>
      </c>
      <c r="F474" t="str">
        <f>_xlfn.XLOOKUP(C474,'Allow&amp;Disa Exp by Truelayer cat'!$B:$B,'Allow&amp;Disa Exp by Truelayer cat'!$E:$E)</f>
        <v>Deduct from expenses</v>
      </c>
    </row>
    <row r="475" spans="1:6" x14ac:dyDescent="0.25">
      <c r="A475" t="s">
        <v>1079</v>
      </c>
      <c r="B475" t="s">
        <v>1422</v>
      </c>
      <c r="C475" t="s">
        <v>487</v>
      </c>
      <c r="D475" t="str">
        <f>_xlfn.XLOOKUP(C475,'Allow&amp;Disa Exp by Truelayer cat'!$B:$B,'Allow&amp;Disa Exp by Truelayer cat'!$C:$C)</f>
        <v>Allowable</v>
      </c>
      <c r="E475" s="116">
        <f>_xlfn.XLOOKUP(C475,'Allow&amp;Disa Exp by Truelayer cat'!$B:$B,'Allow&amp;Disa Exp by Truelayer cat'!$D:$D)</f>
        <v>0</v>
      </c>
      <c r="F475" t="str">
        <f>_xlfn.XLOOKUP(C475,'Allow&amp;Disa Exp by Truelayer cat'!$B:$B,'Allow&amp;Disa Exp by Truelayer cat'!$E:$E)</f>
        <v>Deduct from expenses</v>
      </c>
    </row>
    <row r="476" spans="1:6" x14ac:dyDescent="0.25">
      <c r="A476" t="s">
        <v>1079</v>
      </c>
      <c r="B476" t="s">
        <v>1423</v>
      </c>
      <c r="C476" t="s">
        <v>487</v>
      </c>
      <c r="D476" t="str">
        <f>_xlfn.XLOOKUP(C476,'Allow&amp;Disa Exp by Truelayer cat'!$B:$B,'Allow&amp;Disa Exp by Truelayer cat'!$C:$C)</f>
        <v>Allowable</v>
      </c>
      <c r="E476" s="116">
        <f>_xlfn.XLOOKUP(C476,'Allow&amp;Disa Exp by Truelayer cat'!$B:$B,'Allow&amp;Disa Exp by Truelayer cat'!$D:$D)</f>
        <v>0</v>
      </c>
      <c r="F476" t="str">
        <f>_xlfn.XLOOKUP(C476,'Allow&amp;Disa Exp by Truelayer cat'!$B:$B,'Allow&amp;Disa Exp by Truelayer cat'!$E:$E)</f>
        <v>Deduct from expenses</v>
      </c>
    </row>
    <row r="477" spans="1:6" x14ac:dyDescent="0.25">
      <c r="A477" t="s">
        <v>1079</v>
      </c>
      <c r="B477" t="s">
        <v>1424</v>
      </c>
      <c r="C477" t="s">
        <v>487</v>
      </c>
      <c r="D477" t="str">
        <f>_xlfn.XLOOKUP(C477,'Allow&amp;Disa Exp by Truelayer cat'!$B:$B,'Allow&amp;Disa Exp by Truelayer cat'!$C:$C)</f>
        <v>Allowable</v>
      </c>
      <c r="E477" s="116">
        <f>_xlfn.XLOOKUP(C477,'Allow&amp;Disa Exp by Truelayer cat'!$B:$B,'Allow&amp;Disa Exp by Truelayer cat'!$D:$D)</f>
        <v>0</v>
      </c>
      <c r="F477" t="str">
        <f>_xlfn.XLOOKUP(C477,'Allow&amp;Disa Exp by Truelayer cat'!$B:$B,'Allow&amp;Disa Exp by Truelayer cat'!$E:$E)</f>
        <v>Deduct from expenses</v>
      </c>
    </row>
    <row r="478" spans="1:6" x14ac:dyDescent="0.25">
      <c r="A478" t="s">
        <v>1079</v>
      </c>
      <c r="B478" t="s">
        <v>1425</v>
      </c>
      <c r="C478" t="s">
        <v>487</v>
      </c>
      <c r="D478" t="str">
        <f>_xlfn.XLOOKUP(C478,'Allow&amp;Disa Exp by Truelayer cat'!$B:$B,'Allow&amp;Disa Exp by Truelayer cat'!$C:$C)</f>
        <v>Allowable</v>
      </c>
      <c r="E478" s="116">
        <f>_xlfn.XLOOKUP(C478,'Allow&amp;Disa Exp by Truelayer cat'!$B:$B,'Allow&amp;Disa Exp by Truelayer cat'!$D:$D)</f>
        <v>0</v>
      </c>
      <c r="F478" t="str">
        <f>_xlfn.XLOOKUP(C478,'Allow&amp;Disa Exp by Truelayer cat'!$B:$B,'Allow&amp;Disa Exp by Truelayer cat'!$E:$E)</f>
        <v>Deduct from expenses</v>
      </c>
    </row>
    <row r="479" spans="1:6" x14ac:dyDescent="0.25">
      <c r="A479" t="s">
        <v>1079</v>
      </c>
      <c r="B479" t="s">
        <v>1426</v>
      </c>
      <c r="C479" t="s">
        <v>487</v>
      </c>
      <c r="D479" t="str">
        <f>_xlfn.XLOOKUP(C479,'Allow&amp;Disa Exp by Truelayer cat'!$B:$B,'Allow&amp;Disa Exp by Truelayer cat'!$C:$C)</f>
        <v>Allowable</v>
      </c>
      <c r="E479" s="116">
        <f>_xlfn.XLOOKUP(C479,'Allow&amp;Disa Exp by Truelayer cat'!$B:$B,'Allow&amp;Disa Exp by Truelayer cat'!$D:$D)</f>
        <v>0</v>
      </c>
      <c r="F479" t="str">
        <f>_xlfn.XLOOKUP(C479,'Allow&amp;Disa Exp by Truelayer cat'!$B:$B,'Allow&amp;Disa Exp by Truelayer cat'!$E:$E)</f>
        <v>Deduct from expenses</v>
      </c>
    </row>
    <row r="480" spans="1:6" x14ac:dyDescent="0.25">
      <c r="A480" t="s">
        <v>1079</v>
      </c>
      <c r="B480" t="s">
        <v>1427</v>
      </c>
      <c r="C480" t="s">
        <v>487</v>
      </c>
      <c r="D480" t="str">
        <f>_xlfn.XLOOKUP(C480,'Allow&amp;Disa Exp by Truelayer cat'!$B:$B,'Allow&amp;Disa Exp by Truelayer cat'!$C:$C)</f>
        <v>Allowable</v>
      </c>
      <c r="E480" s="116">
        <f>_xlfn.XLOOKUP(C480,'Allow&amp;Disa Exp by Truelayer cat'!$B:$B,'Allow&amp;Disa Exp by Truelayer cat'!$D:$D)</f>
        <v>0</v>
      </c>
      <c r="F480" t="str">
        <f>_xlfn.XLOOKUP(C480,'Allow&amp;Disa Exp by Truelayer cat'!$B:$B,'Allow&amp;Disa Exp by Truelayer cat'!$E:$E)</f>
        <v>Deduct from expenses</v>
      </c>
    </row>
    <row r="481" spans="1:6" x14ac:dyDescent="0.25">
      <c r="A481" t="s">
        <v>1079</v>
      </c>
      <c r="B481" t="s">
        <v>1428</v>
      </c>
      <c r="C481" t="s">
        <v>487</v>
      </c>
      <c r="D481" t="str">
        <f>_xlfn.XLOOKUP(C481,'Allow&amp;Disa Exp by Truelayer cat'!$B:$B,'Allow&amp;Disa Exp by Truelayer cat'!$C:$C)</f>
        <v>Allowable</v>
      </c>
      <c r="E481" s="116">
        <f>_xlfn.XLOOKUP(C481,'Allow&amp;Disa Exp by Truelayer cat'!$B:$B,'Allow&amp;Disa Exp by Truelayer cat'!$D:$D)</f>
        <v>0</v>
      </c>
      <c r="F481" t="str">
        <f>_xlfn.XLOOKUP(C481,'Allow&amp;Disa Exp by Truelayer cat'!$B:$B,'Allow&amp;Disa Exp by Truelayer cat'!$E:$E)</f>
        <v>Deduct from expenses</v>
      </c>
    </row>
    <row r="482" spans="1:6" x14ac:dyDescent="0.25">
      <c r="A482" t="s">
        <v>1079</v>
      </c>
      <c r="B482" t="s">
        <v>1429</v>
      </c>
      <c r="C482" t="s">
        <v>487</v>
      </c>
      <c r="D482" t="str">
        <f>_xlfn.XLOOKUP(C482,'Allow&amp;Disa Exp by Truelayer cat'!$B:$B,'Allow&amp;Disa Exp by Truelayer cat'!$C:$C)</f>
        <v>Allowable</v>
      </c>
      <c r="E482" s="116">
        <f>_xlfn.XLOOKUP(C482,'Allow&amp;Disa Exp by Truelayer cat'!$B:$B,'Allow&amp;Disa Exp by Truelayer cat'!$D:$D)</f>
        <v>0</v>
      </c>
      <c r="F482" t="str">
        <f>_xlfn.XLOOKUP(C482,'Allow&amp;Disa Exp by Truelayer cat'!$B:$B,'Allow&amp;Disa Exp by Truelayer cat'!$E:$E)</f>
        <v>Deduct from expenses</v>
      </c>
    </row>
    <row r="483" spans="1:6" x14ac:dyDescent="0.25">
      <c r="A483" t="s">
        <v>1079</v>
      </c>
      <c r="B483" t="s">
        <v>1430</v>
      </c>
      <c r="C483" t="s">
        <v>487</v>
      </c>
      <c r="D483" t="str">
        <f>_xlfn.XLOOKUP(C483,'Allow&amp;Disa Exp by Truelayer cat'!$B:$B,'Allow&amp;Disa Exp by Truelayer cat'!$C:$C)</f>
        <v>Allowable</v>
      </c>
      <c r="E483" s="116">
        <f>_xlfn.XLOOKUP(C483,'Allow&amp;Disa Exp by Truelayer cat'!$B:$B,'Allow&amp;Disa Exp by Truelayer cat'!$D:$D)</f>
        <v>0</v>
      </c>
      <c r="F483" t="str">
        <f>_xlfn.XLOOKUP(C483,'Allow&amp;Disa Exp by Truelayer cat'!$B:$B,'Allow&amp;Disa Exp by Truelayer cat'!$E:$E)</f>
        <v>Deduct from expenses</v>
      </c>
    </row>
    <row r="484" spans="1:6" x14ac:dyDescent="0.25">
      <c r="A484" t="s">
        <v>1079</v>
      </c>
      <c r="B484" t="s">
        <v>1431</v>
      </c>
      <c r="C484" t="s">
        <v>487</v>
      </c>
      <c r="D484" t="str">
        <f>_xlfn.XLOOKUP(C484,'Allow&amp;Disa Exp by Truelayer cat'!$B:$B,'Allow&amp;Disa Exp by Truelayer cat'!$C:$C)</f>
        <v>Allowable</v>
      </c>
      <c r="E484" s="116">
        <f>_xlfn.XLOOKUP(C484,'Allow&amp;Disa Exp by Truelayer cat'!$B:$B,'Allow&amp;Disa Exp by Truelayer cat'!$D:$D)</f>
        <v>0</v>
      </c>
      <c r="F484" t="str">
        <f>_xlfn.XLOOKUP(C484,'Allow&amp;Disa Exp by Truelayer cat'!$B:$B,'Allow&amp;Disa Exp by Truelayer cat'!$E:$E)</f>
        <v>Deduct from expenses</v>
      </c>
    </row>
    <row r="485" spans="1:6" x14ac:dyDescent="0.25">
      <c r="A485" t="s">
        <v>1079</v>
      </c>
      <c r="B485" t="s">
        <v>1432</v>
      </c>
      <c r="C485" t="s">
        <v>487</v>
      </c>
      <c r="D485" t="str">
        <f>_xlfn.XLOOKUP(C485,'Allow&amp;Disa Exp by Truelayer cat'!$B:$B,'Allow&amp;Disa Exp by Truelayer cat'!$C:$C)</f>
        <v>Allowable</v>
      </c>
      <c r="E485" s="116">
        <f>_xlfn.XLOOKUP(C485,'Allow&amp;Disa Exp by Truelayer cat'!$B:$B,'Allow&amp;Disa Exp by Truelayer cat'!$D:$D)</f>
        <v>0</v>
      </c>
      <c r="F485" t="str">
        <f>_xlfn.XLOOKUP(C485,'Allow&amp;Disa Exp by Truelayer cat'!$B:$B,'Allow&amp;Disa Exp by Truelayer cat'!$E:$E)</f>
        <v>Deduct from expenses</v>
      </c>
    </row>
    <row r="486" spans="1:6" x14ac:dyDescent="0.25">
      <c r="A486" t="s">
        <v>1079</v>
      </c>
      <c r="B486" t="s">
        <v>1433</v>
      </c>
      <c r="C486" t="s">
        <v>487</v>
      </c>
      <c r="D486" t="str">
        <f>_xlfn.XLOOKUP(C486,'Allow&amp;Disa Exp by Truelayer cat'!$B:$B,'Allow&amp;Disa Exp by Truelayer cat'!$C:$C)</f>
        <v>Allowable</v>
      </c>
      <c r="E486" s="116">
        <f>_xlfn.XLOOKUP(C486,'Allow&amp;Disa Exp by Truelayer cat'!$B:$B,'Allow&amp;Disa Exp by Truelayer cat'!$D:$D)</f>
        <v>0</v>
      </c>
      <c r="F486" t="str">
        <f>_xlfn.XLOOKUP(C486,'Allow&amp;Disa Exp by Truelayer cat'!$B:$B,'Allow&amp;Disa Exp by Truelayer cat'!$E:$E)</f>
        <v>Deduct from expenses</v>
      </c>
    </row>
    <row r="487" spans="1:6" x14ac:dyDescent="0.25">
      <c r="A487" t="s">
        <v>1079</v>
      </c>
      <c r="B487" t="s">
        <v>1434</v>
      </c>
      <c r="C487" t="s">
        <v>487</v>
      </c>
      <c r="D487" t="str">
        <f>_xlfn.XLOOKUP(C487,'Allow&amp;Disa Exp by Truelayer cat'!$B:$B,'Allow&amp;Disa Exp by Truelayer cat'!$C:$C)</f>
        <v>Allowable</v>
      </c>
      <c r="E487" s="116">
        <f>_xlfn.XLOOKUP(C487,'Allow&amp;Disa Exp by Truelayer cat'!$B:$B,'Allow&amp;Disa Exp by Truelayer cat'!$D:$D)</f>
        <v>0</v>
      </c>
      <c r="F487" t="str">
        <f>_xlfn.XLOOKUP(C487,'Allow&amp;Disa Exp by Truelayer cat'!$B:$B,'Allow&amp;Disa Exp by Truelayer cat'!$E:$E)</f>
        <v>Deduct from expenses</v>
      </c>
    </row>
    <row r="488" spans="1:6" x14ac:dyDescent="0.25">
      <c r="A488" t="s">
        <v>1079</v>
      </c>
      <c r="B488" t="s">
        <v>1435</v>
      </c>
      <c r="C488" t="s">
        <v>487</v>
      </c>
      <c r="D488" t="str">
        <f>_xlfn.XLOOKUP(C488,'Allow&amp;Disa Exp by Truelayer cat'!$B:$B,'Allow&amp;Disa Exp by Truelayer cat'!$C:$C)</f>
        <v>Allowable</v>
      </c>
      <c r="E488" s="116">
        <f>_xlfn.XLOOKUP(C488,'Allow&amp;Disa Exp by Truelayer cat'!$B:$B,'Allow&amp;Disa Exp by Truelayer cat'!$D:$D)</f>
        <v>0</v>
      </c>
      <c r="F488" t="str">
        <f>_xlfn.XLOOKUP(C488,'Allow&amp;Disa Exp by Truelayer cat'!$B:$B,'Allow&amp;Disa Exp by Truelayer cat'!$E:$E)</f>
        <v>Deduct from expenses</v>
      </c>
    </row>
    <row r="489" spans="1:6" x14ac:dyDescent="0.25">
      <c r="A489" t="s">
        <v>1079</v>
      </c>
      <c r="B489" t="s">
        <v>1436</v>
      </c>
      <c r="C489" t="s">
        <v>487</v>
      </c>
      <c r="D489" t="str">
        <f>_xlfn.XLOOKUP(C489,'Allow&amp;Disa Exp by Truelayer cat'!$B:$B,'Allow&amp;Disa Exp by Truelayer cat'!$C:$C)</f>
        <v>Allowable</v>
      </c>
      <c r="E489" s="116">
        <f>_xlfn.XLOOKUP(C489,'Allow&amp;Disa Exp by Truelayer cat'!$B:$B,'Allow&amp;Disa Exp by Truelayer cat'!$D:$D)</f>
        <v>0</v>
      </c>
      <c r="F489" t="str">
        <f>_xlfn.XLOOKUP(C489,'Allow&amp;Disa Exp by Truelayer cat'!$B:$B,'Allow&amp;Disa Exp by Truelayer cat'!$E:$E)</f>
        <v>Deduct from expenses</v>
      </c>
    </row>
    <row r="490" spans="1:6" x14ac:dyDescent="0.25">
      <c r="A490" t="s">
        <v>1079</v>
      </c>
      <c r="B490" t="s">
        <v>1437</v>
      </c>
      <c r="C490" t="s">
        <v>487</v>
      </c>
      <c r="D490" t="str">
        <f>_xlfn.XLOOKUP(C490,'Allow&amp;Disa Exp by Truelayer cat'!$B:$B,'Allow&amp;Disa Exp by Truelayer cat'!$C:$C)</f>
        <v>Allowable</v>
      </c>
      <c r="E490" s="116">
        <f>_xlfn.XLOOKUP(C490,'Allow&amp;Disa Exp by Truelayer cat'!$B:$B,'Allow&amp;Disa Exp by Truelayer cat'!$D:$D)</f>
        <v>0</v>
      </c>
      <c r="F490" t="str">
        <f>_xlfn.XLOOKUP(C490,'Allow&amp;Disa Exp by Truelayer cat'!$B:$B,'Allow&amp;Disa Exp by Truelayer cat'!$E:$E)</f>
        <v>Deduct from expenses</v>
      </c>
    </row>
    <row r="491" spans="1:6" x14ac:dyDescent="0.25">
      <c r="A491" t="s">
        <v>1079</v>
      </c>
      <c r="B491" t="s">
        <v>1438</v>
      </c>
      <c r="C491" t="s">
        <v>487</v>
      </c>
      <c r="D491" t="str">
        <f>_xlfn.XLOOKUP(C491,'Allow&amp;Disa Exp by Truelayer cat'!$B:$B,'Allow&amp;Disa Exp by Truelayer cat'!$C:$C)</f>
        <v>Allowable</v>
      </c>
      <c r="E491" s="116">
        <f>_xlfn.XLOOKUP(C491,'Allow&amp;Disa Exp by Truelayer cat'!$B:$B,'Allow&amp;Disa Exp by Truelayer cat'!$D:$D)</f>
        <v>0</v>
      </c>
      <c r="F491" t="str">
        <f>_xlfn.XLOOKUP(C491,'Allow&amp;Disa Exp by Truelayer cat'!$B:$B,'Allow&amp;Disa Exp by Truelayer cat'!$E:$E)</f>
        <v>Deduct from expenses</v>
      </c>
    </row>
    <row r="492" spans="1:6" x14ac:dyDescent="0.25">
      <c r="A492" t="s">
        <v>1079</v>
      </c>
      <c r="B492" t="s">
        <v>1439</v>
      </c>
      <c r="C492" t="s">
        <v>487</v>
      </c>
      <c r="D492" t="str">
        <f>_xlfn.XLOOKUP(C492,'Allow&amp;Disa Exp by Truelayer cat'!$B:$B,'Allow&amp;Disa Exp by Truelayer cat'!$C:$C)</f>
        <v>Allowable</v>
      </c>
      <c r="E492" s="116">
        <f>_xlfn.XLOOKUP(C492,'Allow&amp;Disa Exp by Truelayer cat'!$B:$B,'Allow&amp;Disa Exp by Truelayer cat'!$D:$D)</f>
        <v>0</v>
      </c>
      <c r="F492" t="str">
        <f>_xlfn.XLOOKUP(C492,'Allow&amp;Disa Exp by Truelayer cat'!$B:$B,'Allow&amp;Disa Exp by Truelayer cat'!$E:$E)</f>
        <v>Deduct from expenses</v>
      </c>
    </row>
    <row r="493" spans="1:6" x14ac:dyDescent="0.25">
      <c r="A493" t="s">
        <v>1079</v>
      </c>
      <c r="B493" t="s">
        <v>1440</v>
      </c>
      <c r="C493" t="s">
        <v>487</v>
      </c>
      <c r="D493" t="str">
        <f>_xlfn.XLOOKUP(C493,'Allow&amp;Disa Exp by Truelayer cat'!$B:$B,'Allow&amp;Disa Exp by Truelayer cat'!$C:$C)</f>
        <v>Allowable</v>
      </c>
      <c r="E493" s="116">
        <f>_xlfn.XLOOKUP(C493,'Allow&amp;Disa Exp by Truelayer cat'!$B:$B,'Allow&amp;Disa Exp by Truelayer cat'!$D:$D)</f>
        <v>0</v>
      </c>
      <c r="F493" t="str">
        <f>_xlfn.XLOOKUP(C493,'Allow&amp;Disa Exp by Truelayer cat'!$B:$B,'Allow&amp;Disa Exp by Truelayer cat'!$E:$E)</f>
        <v>Deduct from expenses</v>
      </c>
    </row>
    <row r="494" spans="1:6" x14ac:dyDescent="0.25">
      <c r="A494" t="s">
        <v>1079</v>
      </c>
      <c r="B494" t="s">
        <v>1441</v>
      </c>
      <c r="C494" t="s">
        <v>487</v>
      </c>
      <c r="D494" t="str">
        <f>_xlfn.XLOOKUP(C494,'Allow&amp;Disa Exp by Truelayer cat'!$B:$B,'Allow&amp;Disa Exp by Truelayer cat'!$C:$C)</f>
        <v>Allowable</v>
      </c>
      <c r="E494" s="116">
        <f>_xlfn.XLOOKUP(C494,'Allow&amp;Disa Exp by Truelayer cat'!$B:$B,'Allow&amp;Disa Exp by Truelayer cat'!$D:$D)</f>
        <v>0</v>
      </c>
      <c r="F494" t="str">
        <f>_xlfn.XLOOKUP(C494,'Allow&amp;Disa Exp by Truelayer cat'!$B:$B,'Allow&amp;Disa Exp by Truelayer cat'!$E:$E)</f>
        <v>Deduct from expenses</v>
      </c>
    </row>
    <row r="495" spans="1:6" x14ac:dyDescent="0.25">
      <c r="A495" t="s">
        <v>1079</v>
      </c>
      <c r="B495" t="s">
        <v>1442</v>
      </c>
      <c r="C495" t="s">
        <v>487</v>
      </c>
      <c r="D495" t="str">
        <f>_xlfn.XLOOKUP(C495,'Allow&amp;Disa Exp by Truelayer cat'!$B:$B,'Allow&amp;Disa Exp by Truelayer cat'!$C:$C)</f>
        <v>Allowable</v>
      </c>
      <c r="E495" s="116">
        <f>_xlfn.XLOOKUP(C495,'Allow&amp;Disa Exp by Truelayer cat'!$B:$B,'Allow&amp;Disa Exp by Truelayer cat'!$D:$D)</f>
        <v>0</v>
      </c>
      <c r="F495" t="str">
        <f>_xlfn.XLOOKUP(C495,'Allow&amp;Disa Exp by Truelayer cat'!$B:$B,'Allow&amp;Disa Exp by Truelayer cat'!$E:$E)</f>
        <v>Deduct from expenses</v>
      </c>
    </row>
    <row r="496" spans="1:6" x14ac:dyDescent="0.25">
      <c r="A496" t="s">
        <v>1079</v>
      </c>
      <c r="B496" t="s">
        <v>1443</v>
      </c>
      <c r="C496" t="s">
        <v>487</v>
      </c>
      <c r="D496" t="str">
        <f>_xlfn.XLOOKUP(C496,'Allow&amp;Disa Exp by Truelayer cat'!$B:$B,'Allow&amp;Disa Exp by Truelayer cat'!$C:$C)</f>
        <v>Allowable</v>
      </c>
      <c r="E496" s="116">
        <f>_xlfn.XLOOKUP(C496,'Allow&amp;Disa Exp by Truelayer cat'!$B:$B,'Allow&amp;Disa Exp by Truelayer cat'!$D:$D)</f>
        <v>0</v>
      </c>
      <c r="F496" t="str">
        <f>_xlfn.XLOOKUP(C496,'Allow&amp;Disa Exp by Truelayer cat'!$B:$B,'Allow&amp;Disa Exp by Truelayer cat'!$E:$E)</f>
        <v>Deduct from expenses</v>
      </c>
    </row>
    <row r="497" spans="1:6" x14ac:dyDescent="0.25">
      <c r="A497" t="s">
        <v>1079</v>
      </c>
      <c r="B497" t="s">
        <v>1444</v>
      </c>
      <c r="C497" t="s">
        <v>487</v>
      </c>
      <c r="D497" t="str">
        <f>_xlfn.XLOOKUP(C497,'Allow&amp;Disa Exp by Truelayer cat'!$B:$B,'Allow&amp;Disa Exp by Truelayer cat'!$C:$C)</f>
        <v>Allowable</v>
      </c>
      <c r="E497" s="116">
        <f>_xlfn.XLOOKUP(C497,'Allow&amp;Disa Exp by Truelayer cat'!$B:$B,'Allow&amp;Disa Exp by Truelayer cat'!$D:$D)</f>
        <v>0</v>
      </c>
      <c r="F497" t="str">
        <f>_xlfn.XLOOKUP(C497,'Allow&amp;Disa Exp by Truelayer cat'!$B:$B,'Allow&amp;Disa Exp by Truelayer cat'!$E:$E)</f>
        <v>Deduct from expenses</v>
      </c>
    </row>
    <row r="498" spans="1:6" ht="30" x14ac:dyDescent="0.25">
      <c r="A498" t="s">
        <v>424</v>
      </c>
      <c r="B498" t="s">
        <v>1445</v>
      </c>
      <c r="C498" t="s">
        <v>424</v>
      </c>
      <c r="D498" t="str">
        <f>_xlfn.XLOOKUP(C498,'Allow&amp;Disa Exp by Truelayer cat'!$B:$B,'Allow&amp;Disa Exp by Truelayer cat'!$C:$C)</f>
        <v>Review</v>
      </c>
      <c r="E498" s="116" t="str">
        <f>_xlfn.XLOOKUP(C498,'Allow&amp;Disa Exp by Truelayer cat'!$B:$B,'Allow&amp;Disa Exp by Truelayer cat'!$D:$D)</f>
        <v>"Is this something your business needs….or just a nice fit?"</v>
      </c>
      <c r="F498" t="str">
        <f>_xlfn.XLOOKUP(C498,'Allow&amp;Disa Exp by Truelayer cat'!$B:$B,'Allow&amp;Disa Exp by Truelayer cat'!$E:$E)</f>
        <v xml:space="preserve"> If not for trade, then disallow and add back to income. - Prompt user to add receipt for VAT or just evidence</v>
      </c>
    </row>
    <row r="499" spans="1:6" ht="30" x14ac:dyDescent="0.25">
      <c r="A499" t="s">
        <v>424</v>
      </c>
      <c r="B499" t="s">
        <v>1446</v>
      </c>
      <c r="C499" t="s">
        <v>424</v>
      </c>
      <c r="D499" t="str">
        <f>_xlfn.XLOOKUP(C499,'Allow&amp;Disa Exp by Truelayer cat'!$B:$B,'Allow&amp;Disa Exp by Truelayer cat'!$C:$C)</f>
        <v>Review</v>
      </c>
      <c r="E499" s="116" t="str">
        <f>_xlfn.XLOOKUP(C499,'Allow&amp;Disa Exp by Truelayer cat'!$B:$B,'Allow&amp;Disa Exp by Truelayer cat'!$D:$D)</f>
        <v>"Is this something your business needs….or just a nice fit?"</v>
      </c>
      <c r="F499" t="str">
        <f>_xlfn.XLOOKUP(C499,'Allow&amp;Disa Exp by Truelayer cat'!$B:$B,'Allow&amp;Disa Exp by Truelayer cat'!$E:$E)</f>
        <v xml:space="preserve"> If not for trade, then disallow and add back to income. - Prompt user to add receipt for VAT or just evidence</v>
      </c>
    </row>
    <row r="500" spans="1:6" ht="30" x14ac:dyDescent="0.25">
      <c r="A500" t="s">
        <v>424</v>
      </c>
      <c r="B500" t="s">
        <v>1447</v>
      </c>
      <c r="C500" t="s">
        <v>424</v>
      </c>
      <c r="D500" t="str">
        <f>_xlfn.XLOOKUP(C500,'Allow&amp;Disa Exp by Truelayer cat'!$B:$B,'Allow&amp;Disa Exp by Truelayer cat'!$C:$C)</f>
        <v>Review</v>
      </c>
      <c r="E500" s="116" t="str">
        <f>_xlfn.XLOOKUP(C500,'Allow&amp;Disa Exp by Truelayer cat'!$B:$B,'Allow&amp;Disa Exp by Truelayer cat'!$D:$D)</f>
        <v>"Is this something your business needs….or just a nice fit?"</v>
      </c>
      <c r="F500" t="str">
        <f>_xlfn.XLOOKUP(C500,'Allow&amp;Disa Exp by Truelayer cat'!$B:$B,'Allow&amp;Disa Exp by Truelayer cat'!$E:$E)</f>
        <v xml:space="preserve"> If not for trade, then disallow and add back to income. - Prompt user to add receipt for VAT or just evidence</v>
      </c>
    </row>
    <row r="501" spans="1:6" ht="30" x14ac:dyDescent="0.25">
      <c r="A501" t="s">
        <v>424</v>
      </c>
      <c r="B501" t="s">
        <v>1448</v>
      </c>
      <c r="C501" t="s">
        <v>424</v>
      </c>
      <c r="D501" t="str">
        <f>_xlfn.XLOOKUP(C501,'Allow&amp;Disa Exp by Truelayer cat'!$B:$B,'Allow&amp;Disa Exp by Truelayer cat'!$C:$C)</f>
        <v>Review</v>
      </c>
      <c r="E501" s="116" t="str">
        <f>_xlfn.XLOOKUP(C501,'Allow&amp;Disa Exp by Truelayer cat'!$B:$B,'Allow&amp;Disa Exp by Truelayer cat'!$D:$D)</f>
        <v>"Is this something your business needs….or just a nice fit?"</v>
      </c>
      <c r="F501" t="str">
        <f>_xlfn.XLOOKUP(C501,'Allow&amp;Disa Exp by Truelayer cat'!$B:$B,'Allow&amp;Disa Exp by Truelayer cat'!$E:$E)</f>
        <v xml:space="preserve"> If not for trade, then disallow and add back to income. - Prompt user to add receipt for VAT or just evidence</v>
      </c>
    </row>
    <row r="502" spans="1:6" ht="30" x14ac:dyDescent="0.25">
      <c r="A502" t="s">
        <v>424</v>
      </c>
      <c r="B502" t="s">
        <v>1449</v>
      </c>
      <c r="C502" t="s">
        <v>424</v>
      </c>
      <c r="D502" t="str">
        <f>_xlfn.XLOOKUP(C502,'Allow&amp;Disa Exp by Truelayer cat'!$B:$B,'Allow&amp;Disa Exp by Truelayer cat'!$C:$C)</f>
        <v>Review</v>
      </c>
      <c r="E502" s="116" t="str">
        <f>_xlfn.XLOOKUP(C502,'Allow&amp;Disa Exp by Truelayer cat'!$B:$B,'Allow&amp;Disa Exp by Truelayer cat'!$D:$D)</f>
        <v>"Is this something your business needs….or just a nice fit?"</v>
      </c>
      <c r="F502" t="str">
        <f>_xlfn.XLOOKUP(C502,'Allow&amp;Disa Exp by Truelayer cat'!$B:$B,'Allow&amp;Disa Exp by Truelayer cat'!$E:$E)</f>
        <v xml:space="preserve"> If not for trade, then disallow and add back to income. - Prompt user to add receipt for VAT or just evidence</v>
      </c>
    </row>
    <row r="503" spans="1:6" ht="30" x14ac:dyDescent="0.25">
      <c r="A503" t="s">
        <v>424</v>
      </c>
      <c r="B503" t="s">
        <v>1450</v>
      </c>
      <c r="C503" t="s">
        <v>424</v>
      </c>
      <c r="D503" t="str">
        <f>_xlfn.XLOOKUP(C503,'Allow&amp;Disa Exp by Truelayer cat'!$B:$B,'Allow&amp;Disa Exp by Truelayer cat'!$C:$C)</f>
        <v>Review</v>
      </c>
      <c r="E503" s="116" t="str">
        <f>_xlfn.XLOOKUP(C503,'Allow&amp;Disa Exp by Truelayer cat'!$B:$B,'Allow&amp;Disa Exp by Truelayer cat'!$D:$D)</f>
        <v>"Is this something your business needs….or just a nice fit?"</v>
      </c>
      <c r="F503" t="str">
        <f>_xlfn.XLOOKUP(C503,'Allow&amp;Disa Exp by Truelayer cat'!$B:$B,'Allow&amp;Disa Exp by Truelayer cat'!$E:$E)</f>
        <v xml:space="preserve"> If not for trade, then disallow and add back to income. - Prompt user to add receipt for VAT or just evidence</v>
      </c>
    </row>
    <row r="504" spans="1:6" ht="30" x14ac:dyDescent="0.25">
      <c r="A504" t="s">
        <v>424</v>
      </c>
      <c r="B504" t="s">
        <v>1451</v>
      </c>
      <c r="C504" t="s">
        <v>424</v>
      </c>
      <c r="D504" t="str">
        <f>_xlfn.XLOOKUP(C504,'Allow&amp;Disa Exp by Truelayer cat'!$B:$B,'Allow&amp;Disa Exp by Truelayer cat'!$C:$C)</f>
        <v>Review</v>
      </c>
      <c r="E504" s="116" t="str">
        <f>_xlfn.XLOOKUP(C504,'Allow&amp;Disa Exp by Truelayer cat'!$B:$B,'Allow&amp;Disa Exp by Truelayer cat'!$D:$D)</f>
        <v>"Is this something your business needs….or just a nice fit?"</v>
      </c>
      <c r="F504" t="str">
        <f>_xlfn.XLOOKUP(C504,'Allow&amp;Disa Exp by Truelayer cat'!$B:$B,'Allow&amp;Disa Exp by Truelayer cat'!$E:$E)</f>
        <v xml:space="preserve"> If not for trade, then disallow and add back to income. - Prompt user to add receipt for VAT or just evidence</v>
      </c>
    </row>
    <row r="505" spans="1:6" ht="30" x14ac:dyDescent="0.25">
      <c r="A505" t="s">
        <v>424</v>
      </c>
      <c r="B505" t="s">
        <v>1452</v>
      </c>
      <c r="C505" t="s">
        <v>424</v>
      </c>
      <c r="D505" t="str">
        <f>_xlfn.XLOOKUP(C505,'Allow&amp;Disa Exp by Truelayer cat'!$B:$B,'Allow&amp;Disa Exp by Truelayer cat'!$C:$C)</f>
        <v>Review</v>
      </c>
      <c r="E505" s="116" t="str">
        <f>_xlfn.XLOOKUP(C505,'Allow&amp;Disa Exp by Truelayer cat'!$B:$B,'Allow&amp;Disa Exp by Truelayer cat'!$D:$D)</f>
        <v>"Is this something your business needs….or just a nice fit?"</v>
      </c>
      <c r="F505" t="str">
        <f>_xlfn.XLOOKUP(C505,'Allow&amp;Disa Exp by Truelayer cat'!$B:$B,'Allow&amp;Disa Exp by Truelayer cat'!$E:$E)</f>
        <v xml:space="preserve"> If not for trade, then disallow and add back to income. - Prompt user to add receipt for VAT or just evidence</v>
      </c>
    </row>
    <row r="506" spans="1:6" ht="30" x14ac:dyDescent="0.25">
      <c r="A506" t="s">
        <v>424</v>
      </c>
      <c r="B506" t="s">
        <v>1453</v>
      </c>
      <c r="C506" t="s">
        <v>424</v>
      </c>
      <c r="D506" t="str">
        <f>_xlfn.XLOOKUP(C506,'Allow&amp;Disa Exp by Truelayer cat'!$B:$B,'Allow&amp;Disa Exp by Truelayer cat'!$C:$C)</f>
        <v>Review</v>
      </c>
      <c r="E506" s="116" t="str">
        <f>_xlfn.XLOOKUP(C506,'Allow&amp;Disa Exp by Truelayer cat'!$B:$B,'Allow&amp;Disa Exp by Truelayer cat'!$D:$D)</f>
        <v>"Is this something your business needs….or just a nice fit?"</v>
      </c>
      <c r="F506" t="str">
        <f>_xlfn.XLOOKUP(C506,'Allow&amp;Disa Exp by Truelayer cat'!$B:$B,'Allow&amp;Disa Exp by Truelayer cat'!$E:$E)</f>
        <v xml:space="preserve"> If not for trade, then disallow and add back to income. - Prompt user to add receipt for VAT or just evidence</v>
      </c>
    </row>
    <row r="507" spans="1:6" ht="30" x14ac:dyDescent="0.25">
      <c r="A507" t="s">
        <v>424</v>
      </c>
      <c r="B507" t="s">
        <v>1454</v>
      </c>
      <c r="C507" t="s">
        <v>424</v>
      </c>
      <c r="D507" t="str">
        <f>_xlfn.XLOOKUP(C507,'Allow&amp;Disa Exp by Truelayer cat'!$B:$B,'Allow&amp;Disa Exp by Truelayer cat'!$C:$C)</f>
        <v>Review</v>
      </c>
      <c r="E507" s="116" t="str">
        <f>_xlfn.XLOOKUP(C507,'Allow&amp;Disa Exp by Truelayer cat'!$B:$B,'Allow&amp;Disa Exp by Truelayer cat'!$D:$D)</f>
        <v>"Is this something your business needs….or just a nice fit?"</v>
      </c>
      <c r="F507" t="str">
        <f>_xlfn.XLOOKUP(C507,'Allow&amp;Disa Exp by Truelayer cat'!$B:$B,'Allow&amp;Disa Exp by Truelayer cat'!$E:$E)</f>
        <v xml:space="preserve"> If not for trade, then disallow and add back to income. - Prompt user to add receipt for VAT or just evidence</v>
      </c>
    </row>
    <row r="508" spans="1:6" ht="30" x14ac:dyDescent="0.25">
      <c r="A508" t="s">
        <v>424</v>
      </c>
      <c r="B508" t="s">
        <v>1455</v>
      </c>
      <c r="C508" t="s">
        <v>424</v>
      </c>
      <c r="D508" t="str">
        <f>_xlfn.XLOOKUP(C508,'Allow&amp;Disa Exp by Truelayer cat'!$B:$B,'Allow&amp;Disa Exp by Truelayer cat'!$C:$C)</f>
        <v>Review</v>
      </c>
      <c r="E508" s="116" t="str">
        <f>_xlfn.XLOOKUP(C508,'Allow&amp;Disa Exp by Truelayer cat'!$B:$B,'Allow&amp;Disa Exp by Truelayer cat'!$D:$D)</f>
        <v>"Is this something your business needs….or just a nice fit?"</v>
      </c>
      <c r="F508" t="str">
        <f>_xlfn.XLOOKUP(C508,'Allow&amp;Disa Exp by Truelayer cat'!$B:$B,'Allow&amp;Disa Exp by Truelayer cat'!$E:$E)</f>
        <v xml:space="preserve"> If not for trade, then disallow and add back to income. - Prompt user to add receipt for VAT or just evidence</v>
      </c>
    </row>
    <row r="509" spans="1:6" ht="30" x14ac:dyDescent="0.25">
      <c r="A509" t="s">
        <v>424</v>
      </c>
      <c r="B509" t="s">
        <v>1456</v>
      </c>
      <c r="C509" t="s">
        <v>424</v>
      </c>
      <c r="D509" t="str">
        <f>_xlfn.XLOOKUP(C509,'Allow&amp;Disa Exp by Truelayer cat'!$B:$B,'Allow&amp;Disa Exp by Truelayer cat'!$C:$C)</f>
        <v>Review</v>
      </c>
      <c r="E509" s="116" t="str">
        <f>_xlfn.XLOOKUP(C509,'Allow&amp;Disa Exp by Truelayer cat'!$B:$B,'Allow&amp;Disa Exp by Truelayer cat'!$D:$D)</f>
        <v>"Is this something your business needs….or just a nice fit?"</v>
      </c>
      <c r="F509" t="str">
        <f>_xlfn.XLOOKUP(C509,'Allow&amp;Disa Exp by Truelayer cat'!$B:$B,'Allow&amp;Disa Exp by Truelayer cat'!$E:$E)</f>
        <v xml:space="preserve"> If not for trade, then disallow and add back to income. - Prompt user to add receipt for VAT or just evidence</v>
      </c>
    </row>
    <row r="510" spans="1:6" ht="30" x14ac:dyDescent="0.25">
      <c r="A510" t="s">
        <v>424</v>
      </c>
      <c r="B510" t="s">
        <v>1457</v>
      </c>
      <c r="C510" t="s">
        <v>424</v>
      </c>
      <c r="D510" t="str">
        <f>_xlfn.XLOOKUP(C510,'Allow&amp;Disa Exp by Truelayer cat'!$B:$B,'Allow&amp;Disa Exp by Truelayer cat'!$C:$C)</f>
        <v>Review</v>
      </c>
      <c r="E510" s="116" t="str">
        <f>_xlfn.XLOOKUP(C510,'Allow&amp;Disa Exp by Truelayer cat'!$B:$B,'Allow&amp;Disa Exp by Truelayer cat'!$D:$D)</f>
        <v>"Is this something your business needs….or just a nice fit?"</v>
      </c>
      <c r="F510" t="str">
        <f>_xlfn.XLOOKUP(C510,'Allow&amp;Disa Exp by Truelayer cat'!$B:$B,'Allow&amp;Disa Exp by Truelayer cat'!$E:$E)</f>
        <v xml:space="preserve"> If not for trade, then disallow and add back to income. - Prompt user to add receipt for VAT or just evidence</v>
      </c>
    </row>
    <row r="511" spans="1:6" ht="30" x14ac:dyDescent="0.25">
      <c r="A511" t="s">
        <v>424</v>
      </c>
      <c r="B511" t="s">
        <v>1458</v>
      </c>
      <c r="C511" t="s">
        <v>424</v>
      </c>
      <c r="D511" t="str">
        <f>_xlfn.XLOOKUP(C511,'Allow&amp;Disa Exp by Truelayer cat'!$B:$B,'Allow&amp;Disa Exp by Truelayer cat'!$C:$C)</f>
        <v>Review</v>
      </c>
      <c r="E511" s="116" t="str">
        <f>_xlfn.XLOOKUP(C511,'Allow&amp;Disa Exp by Truelayer cat'!$B:$B,'Allow&amp;Disa Exp by Truelayer cat'!$D:$D)</f>
        <v>"Is this something your business needs….or just a nice fit?"</v>
      </c>
      <c r="F511" t="str">
        <f>_xlfn.XLOOKUP(C511,'Allow&amp;Disa Exp by Truelayer cat'!$B:$B,'Allow&amp;Disa Exp by Truelayer cat'!$E:$E)</f>
        <v xml:space="preserve"> If not for trade, then disallow and add back to income. - Prompt user to add receipt for VAT or just evidence</v>
      </c>
    </row>
    <row r="512" spans="1:6" ht="30" x14ac:dyDescent="0.25">
      <c r="A512" t="s">
        <v>424</v>
      </c>
      <c r="B512" t="s">
        <v>1459</v>
      </c>
      <c r="C512" t="s">
        <v>424</v>
      </c>
      <c r="D512" t="str">
        <f>_xlfn.XLOOKUP(C512,'Allow&amp;Disa Exp by Truelayer cat'!$B:$B,'Allow&amp;Disa Exp by Truelayer cat'!$C:$C)</f>
        <v>Review</v>
      </c>
      <c r="E512" s="116" t="str">
        <f>_xlfn.XLOOKUP(C512,'Allow&amp;Disa Exp by Truelayer cat'!$B:$B,'Allow&amp;Disa Exp by Truelayer cat'!$D:$D)</f>
        <v>"Is this something your business needs….or just a nice fit?"</v>
      </c>
      <c r="F512" t="str">
        <f>_xlfn.XLOOKUP(C512,'Allow&amp;Disa Exp by Truelayer cat'!$B:$B,'Allow&amp;Disa Exp by Truelayer cat'!$E:$E)</f>
        <v xml:space="preserve"> If not for trade, then disallow and add back to income. - Prompt user to add receipt for VAT or just evidence</v>
      </c>
    </row>
    <row r="513" spans="1:6" ht="30" x14ac:dyDescent="0.25">
      <c r="A513" t="s">
        <v>424</v>
      </c>
      <c r="B513" t="s">
        <v>1460</v>
      </c>
      <c r="C513" t="s">
        <v>424</v>
      </c>
      <c r="D513" t="str">
        <f>_xlfn.XLOOKUP(C513,'Allow&amp;Disa Exp by Truelayer cat'!$B:$B,'Allow&amp;Disa Exp by Truelayer cat'!$C:$C)</f>
        <v>Review</v>
      </c>
      <c r="E513" s="116" t="str">
        <f>_xlfn.XLOOKUP(C513,'Allow&amp;Disa Exp by Truelayer cat'!$B:$B,'Allow&amp;Disa Exp by Truelayer cat'!$D:$D)</f>
        <v>"Is this something your business needs….or just a nice fit?"</v>
      </c>
      <c r="F513" t="str">
        <f>_xlfn.XLOOKUP(C513,'Allow&amp;Disa Exp by Truelayer cat'!$B:$B,'Allow&amp;Disa Exp by Truelayer cat'!$E:$E)</f>
        <v xml:space="preserve"> If not for trade, then disallow and add back to income. - Prompt user to add receipt for VAT or just evidence</v>
      </c>
    </row>
    <row r="514" spans="1:6" ht="30" x14ac:dyDescent="0.25">
      <c r="A514" t="s">
        <v>424</v>
      </c>
      <c r="B514" t="s">
        <v>1461</v>
      </c>
      <c r="C514" t="s">
        <v>424</v>
      </c>
      <c r="D514" t="str">
        <f>_xlfn.XLOOKUP(C514,'Allow&amp;Disa Exp by Truelayer cat'!$B:$B,'Allow&amp;Disa Exp by Truelayer cat'!$C:$C)</f>
        <v>Review</v>
      </c>
      <c r="E514" s="116" t="str">
        <f>_xlfn.XLOOKUP(C514,'Allow&amp;Disa Exp by Truelayer cat'!$B:$B,'Allow&amp;Disa Exp by Truelayer cat'!$D:$D)</f>
        <v>"Is this something your business needs….or just a nice fit?"</v>
      </c>
      <c r="F514" t="str">
        <f>_xlfn.XLOOKUP(C514,'Allow&amp;Disa Exp by Truelayer cat'!$B:$B,'Allow&amp;Disa Exp by Truelayer cat'!$E:$E)</f>
        <v xml:space="preserve"> If not for trade, then disallow and add back to income. - Prompt user to add receipt for VAT or just evidence</v>
      </c>
    </row>
    <row r="515" spans="1:6" ht="30" x14ac:dyDescent="0.25">
      <c r="A515" t="s">
        <v>424</v>
      </c>
      <c r="B515" t="s">
        <v>1462</v>
      </c>
      <c r="C515" t="s">
        <v>424</v>
      </c>
      <c r="D515" t="str">
        <f>_xlfn.XLOOKUP(C515,'Allow&amp;Disa Exp by Truelayer cat'!$B:$B,'Allow&amp;Disa Exp by Truelayer cat'!$C:$C)</f>
        <v>Review</v>
      </c>
      <c r="E515" s="116" t="str">
        <f>_xlfn.XLOOKUP(C515,'Allow&amp;Disa Exp by Truelayer cat'!$B:$B,'Allow&amp;Disa Exp by Truelayer cat'!$D:$D)</f>
        <v>"Is this something your business needs….or just a nice fit?"</v>
      </c>
      <c r="F515" t="str">
        <f>_xlfn.XLOOKUP(C515,'Allow&amp;Disa Exp by Truelayer cat'!$B:$B,'Allow&amp;Disa Exp by Truelayer cat'!$E:$E)</f>
        <v xml:space="preserve"> If not for trade, then disallow and add back to income. - Prompt user to add receipt for VAT or just evidence</v>
      </c>
    </row>
    <row r="516" spans="1:6" ht="30" x14ac:dyDescent="0.25">
      <c r="A516" t="s">
        <v>424</v>
      </c>
      <c r="B516" t="s">
        <v>1463</v>
      </c>
      <c r="C516" t="s">
        <v>424</v>
      </c>
      <c r="D516" t="str">
        <f>_xlfn.XLOOKUP(C516,'Allow&amp;Disa Exp by Truelayer cat'!$B:$B,'Allow&amp;Disa Exp by Truelayer cat'!$C:$C)</f>
        <v>Review</v>
      </c>
      <c r="E516" s="116" t="str">
        <f>_xlfn.XLOOKUP(C516,'Allow&amp;Disa Exp by Truelayer cat'!$B:$B,'Allow&amp;Disa Exp by Truelayer cat'!$D:$D)</f>
        <v>"Is this something your business needs….or just a nice fit?"</v>
      </c>
      <c r="F516" t="str">
        <f>_xlfn.XLOOKUP(C516,'Allow&amp;Disa Exp by Truelayer cat'!$B:$B,'Allow&amp;Disa Exp by Truelayer cat'!$E:$E)</f>
        <v xml:space="preserve"> If not for trade, then disallow and add back to income. - Prompt user to add receipt for VAT or just evidence</v>
      </c>
    </row>
    <row r="517" spans="1:6" ht="30" x14ac:dyDescent="0.25">
      <c r="A517" t="s">
        <v>424</v>
      </c>
      <c r="B517" t="s">
        <v>1464</v>
      </c>
      <c r="C517" t="s">
        <v>424</v>
      </c>
      <c r="D517" t="str">
        <f>_xlfn.XLOOKUP(C517,'Allow&amp;Disa Exp by Truelayer cat'!$B:$B,'Allow&amp;Disa Exp by Truelayer cat'!$C:$C)</f>
        <v>Review</v>
      </c>
      <c r="E517" s="116" t="str">
        <f>_xlfn.XLOOKUP(C517,'Allow&amp;Disa Exp by Truelayer cat'!$B:$B,'Allow&amp;Disa Exp by Truelayer cat'!$D:$D)</f>
        <v>"Is this something your business needs….or just a nice fit?"</v>
      </c>
      <c r="F517" t="str">
        <f>_xlfn.XLOOKUP(C517,'Allow&amp;Disa Exp by Truelayer cat'!$B:$B,'Allow&amp;Disa Exp by Truelayer cat'!$E:$E)</f>
        <v xml:space="preserve"> If not for trade, then disallow and add back to income. - Prompt user to add receipt for VAT or just evidence</v>
      </c>
    </row>
    <row r="518" spans="1:6" ht="30" x14ac:dyDescent="0.25">
      <c r="A518" t="s">
        <v>424</v>
      </c>
      <c r="B518" t="s">
        <v>1465</v>
      </c>
      <c r="C518" t="s">
        <v>424</v>
      </c>
      <c r="D518" t="str">
        <f>_xlfn.XLOOKUP(C518,'Allow&amp;Disa Exp by Truelayer cat'!$B:$B,'Allow&amp;Disa Exp by Truelayer cat'!$C:$C)</f>
        <v>Review</v>
      </c>
      <c r="E518" s="116" t="str">
        <f>_xlfn.XLOOKUP(C518,'Allow&amp;Disa Exp by Truelayer cat'!$B:$B,'Allow&amp;Disa Exp by Truelayer cat'!$D:$D)</f>
        <v>"Is this something your business needs….or just a nice fit?"</v>
      </c>
      <c r="F518" t="str">
        <f>_xlfn.XLOOKUP(C518,'Allow&amp;Disa Exp by Truelayer cat'!$B:$B,'Allow&amp;Disa Exp by Truelayer cat'!$E:$E)</f>
        <v xml:space="preserve"> If not for trade, then disallow and add back to income. - Prompt user to add receipt for VAT or just evidence</v>
      </c>
    </row>
    <row r="519" spans="1:6" ht="30" x14ac:dyDescent="0.25">
      <c r="A519" t="s">
        <v>424</v>
      </c>
      <c r="B519" t="s">
        <v>1466</v>
      </c>
      <c r="C519" t="s">
        <v>424</v>
      </c>
      <c r="D519" t="str">
        <f>_xlfn.XLOOKUP(C519,'Allow&amp;Disa Exp by Truelayer cat'!$B:$B,'Allow&amp;Disa Exp by Truelayer cat'!$C:$C)</f>
        <v>Review</v>
      </c>
      <c r="E519" s="116" t="str">
        <f>_xlfn.XLOOKUP(C519,'Allow&amp;Disa Exp by Truelayer cat'!$B:$B,'Allow&amp;Disa Exp by Truelayer cat'!$D:$D)</f>
        <v>"Is this something your business needs….or just a nice fit?"</v>
      </c>
      <c r="F519" t="str">
        <f>_xlfn.XLOOKUP(C519,'Allow&amp;Disa Exp by Truelayer cat'!$B:$B,'Allow&amp;Disa Exp by Truelayer cat'!$E:$E)</f>
        <v xml:space="preserve"> If not for trade, then disallow and add back to income. - Prompt user to add receipt for VAT or just evidence</v>
      </c>
    </row>
    <row r="520" spans="1:6" ht="30" x14ac:dyDescent="0.25">
      <c r="A520" t="s">
        <v>424</v>
      </c>
      <c r="B520" t="s">
        <v>1467</v>
      </c>
      <c r="C520" t="s">
        <v>424</v>
      </c>
      <c r="D520" t="str">
        <f>_xlfn.XLOOKUP(C520,'Allow&amp;Disa Exp by Truelayer cat'!$B:$B,'Allow&amp;Disa Exp by Truelayer cat'!$C:$C)</f>
        <v>Review</v>
      </c>
      <c r="E520" s="116" t="str">
        <f>_xlfn.XLOOKUP(C520,'Allow&amp;Disa Exp by Truelayer cat'!$B:$B,'Allow&amp;Disa Exp by Truelayer cat'!$D:$D)</f>
        <v>"Is this something your business needs….or just a nice fit?"</v>
      </c>
      <c r="F520" t="str">
        <f>_xlfn.XLOOKUP(C520,'Allow&amp;Disa Exp by Truelayer cat'!$B:$B,'Allow&amp;Disa Exp by Truelayer cat'!$E:$E)</f>
        <v xml:space="preserve"> If not for trade, then disallow and add back to income. - Prompt user to add receipt for VAT or just evidence</v>
      </c>
    </row>
    <row r="521" spans="1:6" ht="30" x14ac:dyDescent="0.25">
      <c r="A521" t="s">
        <v>424</v>
      </c>
      <c r="B521" t="s">
        <v>1468</v>
      </c>
      <c r="C521" t="s">
        <v>424</v>
      </c>
      <c r="D521" t="str">
        <f>_xlfn.XLOOKUP(C521,'Allow&amp;Disa Exp by Truelayer cat'!$B:$B,'Allow&amp;Disa Exp by Truelayer cat'!$C:$C)</f>
        <v>Review</v>
      </c>
      <c r="E521" s="116" t="str">
        <f>_xlfn.XLOOKUP(C521,'Allow&amp;Disa Exp by Truelayer cat'!$B:$B,'Allow&amp;Disa Exp by Truelayer cat'!$D:$D)</f>
        <v>"Is this something your business needs….or just a nice fit?"</v>
      </c>
      <c r="F521" t="str">
        <f>_xlfn.XLOOKUP(C521,'Allow&amp;Disa Exp by Truelayer cat'!$B:$B,'Allow&amp;Disa Exp by Truelayer cat'!$E:$E)</f>
        <v xml:space="preserve"> If not for trade, then disallow and add back to income. - Prompt user to add receipt for VAT or just evidence</v>
      </c>
    </row>
    <row r="522" spans="1:6" ht="30" x14ac:dyDescent="0.25">
      <c r="A522" t="s">
        <v>424</v>
      </c>
      <c r="B522" t="s">
        <v>1469</v>
      </c>
      <c r="C522" t="s">
        <v>424</v>
      </c>
      <c r="D522" t="str">
        <f>_xlfn.XLOOKUP(C522,'Allow&amp;Disa Exp by Truelayer cat'!$B:$B,'Allow&amp;Disa Exp by Truelayer cat'!$C:$C)</f>
        <v>Review</v>
      </c>
      <c r="E522" s="116" t="str">
        <f>_xlfn.XLOOKUP(C522,'Allow&amp;Disa Exp by Truelayer cat'!$B:$B,'Allow&amp;Disa Exp by Truelayer cat'!$D:$D)</f>
        <v>"Is this something your business needs….or just a nice fit?"</v>
      </c>
      <c r="F522" t="str">
        <f>_xlfn.XLOOKUP(C522,'Allow&amp;Disa Exp by Truelayer cat'!$B:$B,'Allow&amp;Disa Exp by Truelayer cat'!$E:$E)</f>
        <v xml:space="preserve"> If not for trade, then disallow and add back to income. - Prompt user to add receipt for VAT or just evidence</v>
      </c>
    </row>
    <row r="523" spans="1:6" ht="30" x14ac:dyDescent="0.25">
      <c r="A523" t="s">
        <v>424</v>
      </c>
      <c r="B523" t="s">
        <v>1470</v>
      </c>
      <c r="C523" t="s">
        <v>424</v>
      </c>
      <c r="D523" t="str">
        <f>_xlfn.XLOOKUP(C523,'Allow&amp;Disa Exp by Truelayer cat'!$B:$B,'Allow&amp;Disa Exp by Truelayer cat'!$C:$C)</f>
        <v>Review</v>
      </c>
      <c r="E523" s="116" t="str">
        <f>_xlfn.XLOOKUP(C523,'Allow&amp;Disa Exp by Truelayer cat'!$B:$B,'Allow&amp;Disa Exp by Truelayer cat'!$D:$D)</f>
        <v>"Is this something your business needs….or just a nice fit?"</v>
      </c>
      <c r="F523" t="str">
        <f>_xlfn.XLOOKUP(C523,'Allow&amp;Disa Exp by Truelayer cat'!$B:$B,'Allow&amp;Disa Exp by Truelayer cat'!$E:$E)</f>
        <v xml:space="preserve"> If not for trade, then disallow and add back to income. - Prompt user to add receipt for VAT or just evidence</v>
      </c>
    </row>
    <row r="524" spans="1:6" ht="30" x14ac:dyDescent="0.25">
      <c r="A524" t="s">
        <v>424</v>
      </c>
      <c r="B524" t="s">
        <v>1471</v>
      </c>
      <c r="C524" t="s">
        <v>424</v>
      </c>
      <c r="D524" t="str">
        <f>_xlfn.XLOOKUP(C524,'Allow&amp;Disa Exp by Truelayer cat'!$B:$B,'Allow&amp;Disa Exp by Truelayer cat'!$C:$C)</f>
        <v>Review</v>
      </c>
      <c r="E524" s="116" t="str">
        <f>_xlfn.XLOOKUP(C524,'Allow&amp;Disa Exp by Truelayer cat'!$B:$B,'Allow&amp;Disa Exp by Truelayer cat'!$D:$D)</f>
        <v>"Is this something your business needs….or just a nice fit?"</v>
      </c>
      <c r="F524" t="str">
        <f>_xlfn.XLOOKUP(C524,'Allow&amp;Disa Exp by Truelayer cat'!$B:$B,'Allow&amp;Disa Exp by Truelayer cat'!$E:$E)</f>
        <v xml:space="preserve"> If not for trade, then disallow and add back to income. - Prompt user to add receipt for VAT or just evidence</v>
      </c>
    </row>
    <row r="525" spans="1:6" ht="30" x14ac:dyDescent="0.25">
      <c r="A525" t="s">
        <v>424</v>
      </c>
      <c r="B525" t="s">
        <v>1472</v>
      </c>
      <c r="C525" t="s">
        <v>424</v>
      </c>
      <c r="D525" t="str">
        <f>_xlfn.XLOOKUP(C525,'Allow&amp;Disa Exp by Truelayer cat'!$B:$B,'Allow&amp;Disa Exp by Truelayer cat'!$C:$C)</f>
        <v>Review</v>
      </c>
      <c r="E525" s="116" t="str">
        <f>_xlfn.XLOOKUP(C525,'Allow&amp;Disa Exp by Truelayer cat'!$B:$B,'Allow&amp;Disa Exp by Truelayer cat'!$D:$D)</f>
        <v>"Is this something your business needs….or just a nice fit?"</v>
      </c>
      <c r="F525" t="str">
        <f>_xlfn.XLOOKUP(C525,'Allow&amp;Disa Exp by Truelayer cat'!$B:$B,'Allow&amp;Disa Exp by Truelayer cat'!$E:$E)</f>
        <v xml:space="preserve"> If not for trade, then disallow and add back to income. - Prompt user to add receipt for VAT or just evidence</v>
      </c>
    </row>
    <row r="526" spans="1:6" ht="30" x14ac:dyDescent="0.25">
      <c r="A526" t="s">
        <v>424</v>
      </c>
      <c r="B526" t="s">
        <v>1473</v>
      </c>
      <c r="C526" t="s">
        <v>424</v>
      </c>
      <c r="D526" t="str">
        <f>_xlfn.XLOOKUP(C526,'Allow&amp;Disa Exp by Truelayer cat'!$B:$B,'Allow&amp;Disa Exp by Truelayer cat'!$C:$C)</f>
        <v>Review</v>
      </c>
      <c r="E526" s="116" t="str">
        <f>_xlfn.XLOOKUP(C526,'Allow&amp;Disa Exp by Truelayer cat'!$B:$B,'Allow&amp;Disa Exp by Truelayer cat'!$D:$D)</f>
        <v>"Is this something your business needs….or just a nice fit?"</v>
      </c>
      <c r="F526" t="str">
        <f>_xlfn.XLOOKUP(C526,'Allow&amp;Disa Exp by Truelayer cat'!$B:$B,'Allow&amp;Disa Exp by Truelayer cat'!$E:$E)</f>
        <v xml:space="preserve"> If not for trade, then disallow and add back to income. - Prompt user to add receipt for VAT or just evidence</v>
      </c>
    </row>
    <row r="527" spans="1:6" ht="30" x14ac:dyDescent="0.25">
      <c r="A527" t="s">
        <v>424</v>
      </c>
      <c r="B527" t="s">
        <v>1474</v>
      </c>
      <c r="C527" t="s">
        <v>424</v>
      </c>
      <c r="D527" t="str">
        <f>_xlfn.XLOOKUP(C527,'Allow&amp;Disa Exp by Truelayer cat'!$B:$B,'Allow&amp;Disa Exp by Truelayer cat'!$C:$C)</f>
        <v>Review</v>
      </c>
      <c r="E527" s="116" t="str">
        <f>_xlfn.XLOOKUP(C527,'Allow&amp;Disa Exp by Truelayer cat'!$B:$B,'Allow&amp;Disa Exp by Truelayer cat'!$D:$D)</f>
        <v>"Is this something your business needs….or just a nice fit?"</v>
      </c>
      <c r="F527" t="str">
        <f>_xlfn.XLOOKUP(C527,'Allow&amp;Disa Exp by Truelayer cat'!$B:$B,'Allow&amp;Disa Exp by Truelayer cat'!$E:$E)</f>
        <v xml:space="preserve"> If not for trade, then disallow and add back to income. - Prompt user to add receipt for VAT or just evidence</v>
      </c>
    </row>
    <row r="528" spans="1:6" ht="30" x14ac:dyDescent="0.25">
      <c r="A528" t="s">
        <v>424</v>
      </c>
      <c r="B528" t="s">
        <v>1475</v>
      </c>
      <c r="C528" t="s">
        <v>424</v>
      </c>
      <c r="D528" t="str">
        <f>_xlfn.XLOOKUP(C528,'Allow&amp;Disa Exp by Truelayer cat'!$B:$B,'Allow&amp;Disa Exp by Truelayer cat'!$C:$C)</f>
        <v>Review</v>
      </c>
      <c r="E528" s="116" t="str">
        <f>_xlfn.XLOOKUP(C528,'Allow&amp;Disa Exp by Truelayer cat'!$B:$B,'Allow&amp;Disa Exp by Truelayer cat'!$D:$D)</f>
        <v>"Is this something your business needs….or just a nice fit?"</v>
      </c>
      <c r="F528" t="str">
        <f>_xlfn.XLOOKUP(C528,'Allow&amp;Disa Exp by Truelayer cat'!$B:$B,'Allow&amp;Disa Exp by Truelayer cat'!$E:$E)</f>
        <v xml:space="preserve"> If not for trade, then disallow and add back to income. - Prompt user to add receipt for VAT or just evidence</v>
      </c>
    </row>
    <row r="529" spans="1:6" ht="30" x14ac:dyDescent="0.25">
      <c r="A529" t="s">
        <v>424</v>
      </c>
      <c r="B529" t="s">
        <v>1476</v>
      </c>
      <c r="C529" t="s">
        <v>424</v>
      </c>
      <c r="D529" t="str">
        <f>_xlfn.XLOOKUP(C529,'Allow&amp;Disa Exp by Truelayer cat'!$B:$B,'Allow&amp;Disa Exp by Truelayer cat'!$C:$C)</f>
        <v>Review</v>
      </c>
      <c r="E529" s="116" t="str">
        <f>_xlfn.XLOOKUP(C529,'Allow&amp;Disa Exp by Truelayer cat'!$B:$B,'Allow&amp;Disa Exp by Truelayer cat'!$D:$D)</f>
        <v>"Is this something your business needs….or just a nice fit?"</v>
      </c>
      <c r="F529" t="str">
        <f>_xlfn.XLOOKUP(C529,'Allow&amp;Disa Exp by Truelayer cat'!$B:$B,'Allow&amp;Disa Exp by Truelayer cat'!$E:$E)</f>
        <v xml:space="preserve"> If not for trade, then disallow and add back to income. - Prompt user to add receipt for VAT or just evidence</v>
      </c>
    </row>
    <row r="530" spans="1:6" ht="30" x14ac:dyDescent="0.25">
      <c r="A530" t="s">
        <v>424</v>
      </c>
      <c r="B530" t="s">
        <v>1477</v>
      </c>
      <c r="C530" t="s">
        <v>424</v>
      </c>
      <c r="D530" t="str">
        <f>_xlfn.XLOOKUP(C530,'Allow&amp;Disa Exp by Truelayer cat'!$B:$B,'Allow&amp;Disa Exp by Truelayer cat'!$C:$C)</f>
        <v>Review</v>
      </c>
      <c r="E530" s="116" t="str">
        <f>_xlfn.XLOOKUP(C530,'Allow&amp;Disa Exp by Truelayer cat'!$B:$B,'Allow&amp;Disa Exp by Truelayer cat'!$D:$D)</f>
        <v>"Is this something your business needs….or just a nice fit?"</v>
      </c>
      <c r="F530" t="str">
        <f>_xlfn.XLOOKUP(C530,'Allow&amp;Disa Exp by Truelayer cat'!$B:$B,'Allow&amp;Disa Exp by Truelayer cat'!$E:$E)</f>
        <v xml:space="preserve"> If not for trade, then disallow and add back to income. - Prompt user to add receipt for VAT or just evidence</v>
      </c>
    </row>
    <row r="531" spans="1:6" ht="30" x14ac:dyDescent="0.25">
      <c r="A531" t="s">
        <v>424</v>
      </c>
      <c r="B531" t="s">
        <v>1478</v>
      </c>
      <c r="C531" t="s">
        <v>424</v>
      </c>
      <c r="D531" t="str">
        <f>_xlfn.XLOOKUP(C531,'Allow&amp;Disa Exp by Truelayer cat'!$B:$B,'Allow&amp;Disa Exp by Truelayer cat'!$C:$C)</f>
        <v>Review</v>
      </c>
      <c r="E531" s="116" t="str">
        <f>_xlfn.XLOOKUP(C531,'Allow&amp;Disa Exp by Truelayer cat'!$B:$B,'Allow&amp;Disa Exp by Truelayer cat'!$D:$D)</f>
        <v>"Is this something your business needs….or just a nice fit?"</v>
      </c>
      <c r="F531" t="str">
        <f>_xlfn.XLOOKUP(C531,'Allow&amp;Disa Exp by Truelayer cat'!$B:$B,'Allow&amp;Disa Exp by Truelayer cat'!$E:$E)</f>
        <v xml:space="preserve"> If not for trade, then disallow and add back to income. - Prompt user to add receipt for VAT or just evidence</v>
      </c>
    </row>
    <row r="532" spans="1:6" ht="30" x14ac:dyDescent="0.25">
      <c r="A532" t="s">
        <v>424</v>
      </c>
      <c r="B532" t="s">
        <v>1479</v>
      </c>
      <c r="C532" t="s">
        <v>424</v>
      </c>
      <c r="D532" t="str">
        <f>_xlfn.XLOOKUP(C532,'Allow&amp;Disa Exp by Truelayer cat'!$B:$B,'Allow&amp;Disa Exp by Truelayer cat'!$C:$C)</f>
        <v>Review</v>
      </c>
      <c r="E532" s="116" t="str">
        <f>_xlfn.XLOOKUP(C532,'Allow&amp;Disa Exp by Truelayer cat'!$B:$B,'Allow&amp;Disa Exp by Truelayer cat'!$D:$D)</f>
        <v>"Is this something your business needs….or just a nice fit?"</v>
      </c>
      <c r="F532" t="str">
        <f>_xlfn.XLOOKUP(C532,'Allow&amp;Disa Exp by Truelayer cat'!$B:$B,'Allow&amp;Disa Exp by Truelayer cat'!$E:$E)</f>
        <v xml:space="preserve"> If not for trade, then disallow and add back to income. - Prompt user to add receipt for VAT or just evidence</v>
      </c>
    </row>
    <row r="533" spans="1:6" ht="30" x14ac:dyDescent="0.25">
      <c r="A533" t="s">
        <v>424</v>
      </c>
      <c r="B533" t="s">
        <v>1480</v>
      </c>
      <c r="C533" t="s">
        <v>424</v>
      </c>
      <c r="D533" t="str">
        <f>_xlfn.XLOOKUP(C533,'Allow&amp;Disa Exp by Truelayer cat'!$B:$B,'Allow&amp;Disa Exp by Truelayer cat'!$C:$C)</f>
        <v>Review</v>
      </c>
      <c r="E533" s="116" t="str">
        <f>_xlfn.XLOOKUP(C533,'Allow&amp;Disa Exp by Truelayer cat'!$B:$B,'Allow&amp;Disa Exp by Truelayer cat'!$D:$D)</f>
        <v>"Is this something your business needs….or just a nice fit?"</v>
      </c>
      <c r="F533" t="str">
        <f>_xlfn.XLOOKUP(C533,'Allow&amp;Disa Exp by Truelayer cat'!$B:$B,'Allow&amp;Disa Exp by Truelayer cat'!$E:$E)</f>
        <v xml:space="preserve"> If not for trade, then disallow and add back to income. - Prompt user to add receipt for VAT or just evidence</v>
      </c>
    </row>
    <row r="534" spans="1:6" ht="30" x14ac:dyDescent="0.25">
      <c r="A534" t="s">
        <v>424</v>
      </c>
      <c r="B534" t="s">
        <v>1481</v>
      </c>
      <c r="C534" t="s">
        <v>424</v>
      </c>
      <c r="D534" t="str">
        <f>_xlfn.XLOOKUP(C534,'Allow&amp;Disa Exp by Truelayer cat'!$B:$B,'Allow&amp;Disa Exp by Truelayer cat'!$C:$C)</f>
        <v>Review</v>
      </c>
      <c r="E534" s="116" t="str">
        <f>_xlfn.XLOOKUP(C534,'Allow&amp;Disa Exp by Truelayer cat'!$B:$B,'Allow&amp;Disa Exp by Truelayer cat'!$D:$D)</f>
        <v>"Is this something your business needs….or just a nice fit?"</v>
      </c>
      <c r="F534" t="str">
        <f>_xlfn.XLOOKUP(C534,'Allow&amp;Disa Exp by Truelayer cat'!$B:$B,'Allow&amp;Disa Exp by Truelayer cat'!$E:$E)</f>
        <v xml:space="preserve"> If not for trade, then disallow and add back to income. - Prompt user to add receipt for VAT or just evidence</v>
      </c>
    </row>
    <row r="535" spans="1:6" ht="30" x14ac:dyDescent="0.25">
      <c r="A535" t="s">
        <v>424</v>
      </c>
      <c r="B535" t="s">
        <v>1482</v>
      </c>
      <c r="C535" t="s">
        <v>424</v>
      </c>
      <c r="D535" t="str">
        <f>_xlfn.XLOOKUP(C535,'Allow&amp;Disa Exp by Truelayer cat'!$B:$B,'Allow&amp;Disa Exp by Truelayer cat'!$C:$C)</f>
        <v>Review</v>
      </c>
      <c r="E535" s="116" t="str">
        <f>_xlfn.XLOOKUP(C535,'Allow&amp;Disa Exp by Truelayer cat'!$B:$B,'Allow&amp;Disa Exp by Truelayer cat'!$D:$D)</f>
        <v>"Is this something your business needs….or just a nice fit?"</v>
      </c>
      <c r="F535" t="str">
        <f>_xlfn.XLOOKUP(C535,'Allow&amp;Disa Exp by Truelayer cat'!$B:$B,'Allow&amp;Disa Exp by Truelayer cat'!$E:$E)</f>
        <v xml:space="preserve"> If not for trade, then disallow and add back to income. - Prompt user to add receipt for VAT or just evidence</v>
      </c>
    </row>
    <row r="536" spans="1:6" ht="30" x14ac:dyDescent="0.25">
      <c r="A536" t="s">
        <v>424</v>
      </c>
      <c r="B536" t="s">
        <v>1483</v>
      </c>
      <c r="C536" t="s">
        <v>424</v>
      </c>
      <c r="D536" t="str">
        <f>_xlfn.XLOOKUP(C536,'Allow&amp;Disa Exp by Truelayer cat'!$B:$B,'Allow&amp;Disa Exp by Truelayer cat'!$C:$C)</f>
        <v>Review</v>
      </c>
      <c r="E536" s="116" t="str">
        <f>_xlfn.XLOOKUP(C536,'Allow&amp;Disa Exp by Truelayer cat'!$B:$B,'Allow&amp;Disa Exp by Truelayer cat'!$D:$D)</f>
        <v>"Is this something your business needs….or just a nice fit?"</v>
      </c>
      <c r="F536" t="str">
        <f>_xlfn.XLOOKUP(C536,'Allow&amp;Disa Exp by Truelayer cat'!$B:$B,'Allow&amp;Disa Exp by Truelayer cat'!$E:$E)</f>
        <v xml:space="preserve"> If not for trade, then disallow and add back to income. - Prompt user to add receipt for VAT or just evidence</v>
      </c>
    </row>
    <row r="537" spans="1:6" ht="30" x14ac:dyDescent="0.25">
      <c r="A537" t="s">
        <v>424</v>
      </c>
      <c r="B537" t="s">
        <v>1484</v>
      </c>
      <c r="C537" t="s">
        <v>424</v>
      </c>
      <c r="D537" t="str">
        <f>_xlfn.XLOOKUP(C537,'Allow&amp;Disa Exp by Truelayer cat'!$B:$B,'Allow&amp;Disa Exp by Truelayer cat'!$C:$C)</f>
        <v>Review</v>
      </c>
      <c r="E537" s="116" t="str">
        <f>_xlfn.XLOOKUP(C537,'Allow&amp;Disa Exp by Truelayer cat'!$B:$B,'Allow&amp;Disa Exp by Truelayer cat'!$D:$D)</f>
        <v>"Is this something your business needs….or just a nice fit?"</v>
      </c>
      <c r="F537" t="str">
        <f>_xlfn.XLOOKUP(C537,'Allow&amp;Disa Exp by Truelayer cat'!$B:$B,'Allow&amp;Disa Exp by Truelayer cat'!$E:$E)</f>
        <v xml:space="preserve"> If not for trade, then disallow and add back to income. - Prompt user to add receipt for VAT or just evidence</v>
      </c>
    </row>
    <row r="538" spans="1:6" ht="30" x14ac:dyDescent="0.25">
      <c r="A538" t="s">
        <v>424</v>
      </c>
      <c r="B538" t="s">
        <v>1485</v>
      </c>
      <c r="C538" t="s">
        <v>424</v>
      </c>
      <c r="D538" t="str">
        <f>_xlfn.XLOOKUP(C538,'Allow&amp;Disa Exp by Truelayer cat'!$B:$B,'Allow&amp;Disa Exp by Truelayer cat'!$C:$C)</f>
        <v>Review</v>
      </c>
      <c r="E538" s="116" t="str">
        <f>_xlfn.XLOOKUP(C538,'Allow&amp;Disa Exp by Truelayer cat'!$B:$B,'Allow&amp;Disa Exp by Truelayer cat'!$D:$D)</f>
        <v>"Is this something your business needs….or just a nice fit?"</v>
      </c>
      <c r="F538" t="str">
        <f>_xlfn.XLOOKUP(C538,'Allow&amp;Disa Exp by Truelayer cat'!$B:$B,'Allow&amp;Disa Exp by Truelayer cat'!$E:$E)</f>
        <v xml:space="preserve"> If not for trade, then disallow and add back to income. - Prompt user to add receipt for VAT or just evidence</v>
      </c>
    </row>
    <row r="539" spans="1:6" ht="30" x14ac:dyDescent="0.25">
      <c r="A539" t="s">
        <v>424</v>
      </c>
      <c r="B539" t="s">
        <v>1486</v>
      </c>
      <c r="C539" t="s">
        <v>424</v>
      </c>
      <c r="D539" t="str">
        <f>_xlfn.XLOOKUP(C539,'Allow&amp;Disa Exp by Truelayer cat'!$B:$B,'Allow&amp;Disa Exp by Truelayer cat'!$C:$C)</f>
        <v>Review</v>
      </c>
      <c r="E539" s="116" t="str">
        <f>_xlfn.XLOOKUP(C539,'Allow&amp;Disa Exp by Truelayer cat'!$B:$B,'Allow&amp;Disa Exp by Truelayer cat'!$D:$D)</f>
        <v>"Is this something your business needs….or just a nice fit?"</v>
      </c>
      <c r="F539" t="str">
        <f>_xlfn.XLOOKUP(C539,'Allow&amp;Disa Exp by Truelayer cat'!$B:$B,'Allow&amp;Disa Exp by Truelayer cat'!$E:$E)</f>
        <v xml:space="preserve"> If not for trade, then disallow and add back to income. - Prompt user to add receipt for VAT or just evidence</v>
      </c>
    </row>
    <row r="540" spans="1:6" ht="30" x14ac:dyDescent="0.25">
      <c r="A540" t="s">
        <v>424</v>
      </c>
      <c r="B540" t="s">
        <v>1487</v>
      </c>
      <c r="C540" t="s">
        <v>424</v>
      </c>
      <c r="D540" t="str">
        <f>_xlfn.XLOOKUP(C540,'Allow&amp;Disa Exp by Truelayer cat'!$B:$B,'Allow&amp;Disa Exp by Truelayer cat'!$C:$C)</f>
        <v>Review</v>
      </c>
      <c r="E540" s="116" t="str">
        <f>_xlfn.XLOOKUP(C540,'Allow&amp;Disa Exp by Truelayer cat'!$B:$B,'Allow&amp;Disa Exp by Truelayer cat'!$D:$D)</f>
        <v>"Is this something your business needs….or just a nice fit?"</v>
      </c>
      <c r="F540" t="str">
        <f>_xlfn.XLOOKUP(C540,'Allow&amp;Disa Exp by Truelayer cat'!$B:$B,'Allow&amp;Disa Exp by Truelayer cat'!$E:$E)</f>
        <v xml:space="preserve"> If not for trade, then disallow and add back to income. - Prompt user to add receipt for VAT or just evidence</v>
      </c>
    </row>
    <row r="541" spans="1:6" ht="30" x14ac:dyDescent="0.25">
      <c r="A541" t="s">
        <v>424</v>
      </c>
      <c r="B541" t="s">
        <v>1488</v>
      </c>
      <c r="C541" t="s">
        <v>424</v>
      </c>
      <c r="D541" t="str">
        <f>_xlfn.XLOOKUP(C541,'Allow&amp;Disa Exp by Truelayer cat'!$B:$B,'Allow&amp;Disa Exp by Truelayer cat'!$C:$C)</f>
        <v>Review</v>
      </c>
      <c r="E541" s="116" t="str">
        <f>_xlfn.XLOOKUP(C541,'Allow&amp;Disa Exp by Truelayer cat'!$B:$B,'Allow&amp;Disa Exp by Truelayer cat'!$D:$D)</f>
        <v>"Is this something your business needs….or just a nice fit?"</v>
      </c>
      <c r="F541" t="str">
        <f>_xlfn.XLOOKUP(C541,'Allow&amp;Disa Exp by Truelayer cat'!$B:$B,'Allow&amp;Disa Exp by Truelayer cat'!$E:$E)</f>
        <v xml:space="preserve"> If not for trade, then disallow and add back to income. - Prompt user to add receipt for VAT or just evidence</v>
      </c>
    </row>
    <row r="542" spans="1:6" ht="30" x14ac:dyDescent="0.25">
      <c r="A542" t="s">
        <v>424</v>
      </c>
      <c r="B542" t="s">
        <v>1489</v>
      </c>
      <c r="C542" t="s">
        <v>424</v>
      </c>
      <c r="D542" t="str">
        <f>_xlfn.XLOOKUP(C542,'Allow&amp;Disa Exp by Truelayer cat'!$B:$B,'Allow&amp;Disa Exp by Truelayer cat'!$C:$C)</f>
        <v>Review</v>
      </c>
      <c r="E542" s="116" t="str">
        <f>_xlfn.XLOOKUP(C542,'Allow&amp;Disa Exp by Truelayer cat'!$B:$B,'Allow&amp;Disa Exp by Truelayer cat'!$D:$D)</f>
        <v>"Is this something your business needs….or just a nice fit?"</v>
      </c>
      <c r="F542" t="str">
        <f>_xlfn.XLOOKUP(C542,'Allow&amp;Disa Exp by Truelayer cat'!$B:$B,'Allow&amp;Disa Exp by Truelayer cat'!$E:$E)</f>
        <v xml:space="preserve"> If not for trade, then disallow and add back to income. - Prompt user to add receipt for VAT or just evidence</v>
      </c>
    </row>
    <row r="543" spans="1:6" ht="30" x14ac:dyDescent="0.25">
      <c r="A543" t="s">
        <v>424</v>
      </c>
      <c r="B543" t="s">
        <v>1490</v>
      </c>
      <c r="C543" t="s">
        <v>424</v>
      </c>
      <c r="D543" t="str">
        <f>_xlfn.XLOOKUP(C543,'Allow&amp;Disa Exp by Truelayer cat'!$B:$B,'Allow&amp;Disa Exp by Truelayer cat'!$C:$C)</f>
        <v>Review</v>
      </c>
      <c r="E543" s="116" t="str">
        <f>_xlfn.XLOOKUP(C543,'Allow&amp;Disa Exp by Truelayer cat'!$B:$B,'Allow&amp;Disa Exp by Truelayer cat'!$D:$D)</f>
        <v>"Is this something your business needs….or just a nice fit?"</v>
      </c>
      <c r="F543" t="str">
        <f>_xlfn.XLOOKUP(C543,'Allow&amp;Disa Exp by Truelayer cat'!$B:$B,'Allow&amp;Disa Exp by Truelayer cat'!$E:$E)</f>
        <v xml:space="preserve"> If not for trade, then disallow and add back to income. - Prompt user to add receipt for VAT or just evidence</v>
      </c>
    </row>
    <row r="544" spans="1:6" ht="30" x14ac:dyDescent="0.25">
      <c r="A544" t="s">
        <v>424</v>
      </c>
      <c r="B544" t="s">
        <v>1491</v>
      </c>
      <c r="C544" t="s">
        <v>424</v>
      </c>
      <c r="D544" t="str">
        <f>_xlfn.XLOOKUP(C544,'Allow&amp;Disa Exp by Truelayer cat'!$B:$B,'Allow&amp;Disa Exp by Truelayer cat'!$C:$C)</f>
        <v>Review</v>
      </c>
      <c r="E544" s="116" t="str">
        <f>_xlfn.XLOOKUP(C544,'Allow&amp;Disa Exp by Truelayer cat'!$B:$B,'Allow&amp;Disa Exp by Truelayer cat'!$D:$D)</f>
        <v>"Is this something your business needs….or just a nice fit?"</v>
      </c>
      <c r="F544" t="str">
        <f>_xlfn.XLOOKUP(C544,'Allow&amp;Disa Exp by Truelayer cat'!$B:$B,'Allow&amp;Disa Exp by Truelayer cat'!$E:$E)</f>
        <v xml:space="preserve"> If not for trade, then disallow and add back to income. - Prompt user to add receipt for VAT or just evidence</v>
      </c>
    </row>
    <row r="545" spans="1:6" ht="30" x14ac:dyDescent="0.25">
      <c r="A545" t="s">
        <v>424</v>
      </c>
      <c r="B545" t="s">
        <v>1492</v>
      </c>
      <c r="C545" t="s">
        <v>424</v>
      </c>
      <c r="D545" t="str">
        <f>_xlfn.XLOOKUP(C545,'Allow&amp;Disa Exp by Truelayer cat'!$B:$B,'Allow&amp;Disa Exp by Truelayer cat'!$C:$C)</f>
        <v>Review</v>
      </c>
      <c r="E545" s="116" t="str">
        <f>_xlfn.XLOOKUP(C545,'Allow&amp;Disa Exp by Truelayer cat'!$B:$B,'Allow&amp;Disa Exp by Truelayer cat'!$D:$D)</f>
        <v>"Is this something your business needs….or just a nice fit?"</v>
      </c>
      <c r="F545" t="str">
        <f>_xlfn.XLOOKUP(C545,'Allow&amp;Disa Exp by Truelayer cat'!$B:$B,'Allow&amp;Disa Exp by Truelayer cat'!$E:$E)</f>
        <v xml:space="preserve"> If not for trade, then disallow and add back to income. - Prompt user to add receipt for VAT or just evidence</v>
      </c>
    </row>
    <row r="546" spans="1:6" ht="30" x14ac:dyDescent="0.25">
      <c r="A546" t="s">
        <v>424</v>
      </c>
      <c r="B546" t="s">
        <v>1493</v>
      </c>
      <c r="C546" t="s">
        <v>424</v>
      </c>
      <c r="D546" t="str">
        <f>_xlfn.XLOOKUP(C546,'Allow&amp;Disa Exp by Truelayer cat'!$B:$B,'Allow&amp;Disa Exp by Truelayer cat'!$C:$C)</f>
        <v>Review</v>
      </c>
      <c r="E546" s="116" t="str">
        <f>_xlfn.XLOOKUP(C546,'Allow&amp;Disa Exp by Truelayer cat'!$B:$B,'Allow&amp;Disa Exp by Truelayer cat'!$D:$D)</f>
        <v>"Is this something your business needs….or just a nice fit?"</v>
      </c>
      <c r="F546" t="str">
        <f>_xlfn.XLOOKUP(C546,'Allow&amp;Disa Exp by Truelayer cat'!$B:$B,'Allow&amp;Disa Exp by Truelayer cat'!$E:$E)</f>
        <v xml:space="preserve"> If not for trade, then disallow and add back to income. - Prompt user to add receipt for VAT or just evidence</v>
      </c>
    </row>
    <row r="547" spans="1:6" ht="30" x14ac:dyDescent="0.25">
      <c r="A547" t="s">
        <v>424</v>
      </c>
      <c r="B547" t="s">
        <v>1494</v>
      </c>
      <c r="C547" t="s">
        <v>424</v>
      </c>
      <c r="D547" t="str">
        <f>_xlfn.XLOOKUP(C547,'Allow&amp;Disa Exp by Truelayer cat'!$B:$B,'Allow&amp;Disa Exp by Truelayer cat'!$C:$C)</f>
        <v>Review</v>
      </c>
      <c r="E547" s="116" t="str">
        <f>_xlfn.XLOOKUP(C547,'Allow&amp;Disa Exp by Truelayer cat'!$B:$B,'Allow&amp;Disa Exp by Truelayer cat'!$D:$D)</f>
        <v>"Is this something your business needs….or just a nice fit?"</v>
      </c>
      <c r="F547" t="str">
        <f>_xlfn.XLOOKUP(C547,'Allow&amp;Disa Exp by Truelayer cat'!$B:$B,'Allow&amp;Disa Exp by Truelayer cat'!$E:$E)</f>
        <v xml:space="preserve"> If not for trade, then disallow and add back to income. - Prompt user to add receipt for VAT or just evidence</v>
      </c>
    </row>
    <row r="548" spans="1:6" ht="30" x14ac:dyDescent="0.25">
      <c r="A548" t="s">
        <v>424</v>
      </c>
      <c r="B548" t="s">
        <v>1495</v>
      </c>
      <c r="C548" t="s">
        <v>424</v>
      </c>
      <c r="D548" t="str">
        <f>_xlfn.XLOOKUP(C548,'Allow&amp;Disa Exp by Truelayer cat'!$B:$B,'Allow&amp;Disa Exp by Truelayer cat'!$C:$C)</f>
        <v>Review</v>
      </c>
      <c r="E548" s="116" t="str">
        <f>_xlfn.XLOOKUP(C548,'Allow&amp;Disa Exp by Truelayer cat'!$B:$B,'Allow&amp;Disa Exp by Truelayer cat'!$D:$D)</f>
        <v>"Is this something your business needs….or just a nice fit?"</v>
      </c>
      <c r="F548" t="str">
        <f>_xlfn.XLOOKUP(C548,'Allow&amp;Disa Exp by Truelayer cat'!$B:$B,'Allow&amp;Disa Exp by Truelayer cat'!$E:$E)</f>
        <v xml:space="preserve"> If not for trade, then disallow and add back to income. - Prompt user to add receipt for VAT or just evidence</v>
      </c>
    </row>
    <row r="549" spans="1:6" ht="30" x14ac:dyDescent="0.25">
      <c r="A549" t="s">
        <v>424</v>
      </c>
      <c r="B549" t="s">
        <v>1496</v>
      </c>
      <c r="C549" t="s">
        <v>424</v>
      </c>
      <c r="D549" t="str">
        <f>_xlfn.XLOOKUP(C549,'Allow&amp;Disa Exp by Truelayer cat'!$B:$B,'Allow&amp;Disa Exp by Truelayer cat'!$C:$C)</f>
        <v>Review</v>
      </c>
      <c r="E549" s="116" t="str">
        <f>_xlfn.XLOOKUP(C549,'Allow&amp;Disa Exp by Truelayer cat'!$B:$B,'Allow&amp;Disa Exp by Truelayer cat'!$D:$D)</f>
        <v>"Is this something your business needs….or just a nice fit?"</v>
      </c>
      <c r="F549" t="str">
        <f>_xlfn.XLOOKUP(C549,'Allow&amp;Disa Exp by Truelayer cat'!$B:$B,'Allow&amp;Disa Exp by Truelayer cat'!$E:$E)</f>
        <v xml:space="preserve"> If not for trade, then disallow and add back to income. - Prompt user to add receipt for VAT or just evidence</v>
      </c>
    </row>
    <row r="550" spans="1:6" ht="30" x14ac:dyDescent="0.25">
      <c r="A550" t="s">
        <v>424</v>
      </c>
      <c r="B550" t="s">
        <v>1497</v>
      </c>
      <c r="C550" t="s">
        <v>424</v>
      </c>
      <c r="D550" t="str">
        <f>_xlfn.XLOOKUP(C550,'Allow&amp;Disa Exp by Truelayer cat'!$B:$B,'Allow&amp;Disa Exp by Truelayer cat'!$C:$C)</f>
        <v>Review</v>
      </c>
      <c r="E550" s="116" t="str">
        <f>_xlfn.XLOOKUP(C550,'Allow&amp;Disa Exp by Truelayer cat'!$B:$B,'Allow&amp;Disa Exp by Truelayer cat'!$D:$D)</f>
        <v>"Is this something your business needs….or just a nice fit?"</v>
      </c>
      <c r="F550" t="str">
        <f>_xlfn.XLOOKUP(C550,'Allow&amp;Disa Exp by Truelayer cat'!$B:$B,'Allow&amp;Disa Exp by Truelayer cat'!$E:$E)</f>
        <v xml:space="preserve"> If not for trade, then disallow and add back to income. - Prompt user to add receipt for VAT or just evidence</v>
      </c>
    </row>
    <row r="551" spans="1:6" ht="30" x14ac:dyDescent="0.25">
      <c r="A551" t="s">
        <v>424</v>
      </c>
      <c r="B551" t="s">
        <v>1498</v>
      </c>
      <c r="C551" t="s">
        <v>424</v>
      </c>
      <c r="D551" t="str">
        <f>_xlfn.XLOOKUP(C551,'Allow&amp;Disa Exp by Truelayer cat'!$B:$B,'Allow&amp;Disa Exp by Truelayer cat'!$C:$C)</f>
        <v>Review</v>
      </c>
      <c r="E551" s="116" t="str">
        <f>_xlfn.XLOOKUP(C551,'Allow&amp;Disa Exp by Truelayer cat'!$B:$B,'Allow&amp;Disa Exp by Truelayer cat'!$D:$D)</f>
        <v>"Is this something your business needs….or just a nice fit?"</v>
      </c>
      <c r="F551" t="str">
        <f>_xlfn.XLOOKUP(C551,'Allow&amp;Disa Exp by Truelayer cat'!$B:$B,'Allow&amp;Disa Exp by Truelayer cat'!$E:$E)</f>
        <v xml:space="preserve"> If not for trade, then disallow and add back to income. - Prompt user to add receipt for VAT or just evidence</v>
      </c>
    </row>
    <row r="552" spans="1:6" ht="30" x14ac:dyDescent="0.25">
      <c r="A552" t="s">
        <v>424</v>
      </c>
      <c r="B552" t="s">
        <v>1499</v>
      </c>
      <c r="C552" t="s">
        <v>424</v>
      </c>
      <c r="D552" t="str">
        <f>_xlfn.XLOOKUP(C552,'Allow&amp;Disa Exp by Truelayer cat'!$B:$B,'Allow&amp;Disa Exp by Truelayer cat'!$C:$C)</f>
        <v>Review</v>
      </c>
      <c r="E552" s="116" t="str">
        <f>_xlfn.XLOOKUP(C552,'Allow&amp;Disa Exp by Truelayer cat'!$B:$B,'Allow&amp;Disa Exp by Truelayer cat'!$D:$D)</f>
        <v>"Is this something your business needs….or just a nice fit?"</v>
      </c>
      <c r="F552" t="str">
        <f>_xlfn.XLOOKUP(C552,'Allow&amp;Disa Exp by Truelayer cat'!$B:$B,'Allow&amp;Disa Exp by Truelayer cat'!$E:$E)</f>
        <v xml:space="preserve"> If not for trade, then disallow and add back to income. - Prompt user to add receipt for VAT or just evidence</v>
      </c>
    </row>
    <row r="553" spans="1:6" ht="30" x14ac:dyDescent="0.25">
      <c r="A553" t="s">
        <v>424</v>
      </c>
      <c r="B553" t="s">
        <v>1500</v>
      </c>
      <c r="C553" t="s">
        <v>424</v>
      </c>
      <c r="D553" t="str">
        <f>_xlfn.XLOOKUP(C553,'Allow&amp;Disa Exp by Truelayer cat'!$B:$B,'Allow&amp;Disa Exp by Truelayer cat'!$C:$C)</f>
        <v>Review</v>
      </c>
      <c r="E553" s="116" t="str">
        <f>_xlfn.XLOOKUP(C553,'Allow&amp;Disa Exp by Truelayer cat'!$B:$B,'Allow&amp;Disa Exp by Truelayer cat'!$D:$D)</f>
        <v>"Is this something your business needs….or just a nice fit?"</v>
      </c>
      <c r="F553" t="str">
        <f>_xlfn.XLOOKUP(C553,'Allow&amp;Disa Exp by Truelayer cat'!$B:$B,'Allow&amp;Disa Exp by Truelayer cat'!$E:$E)</f>
        <v xml:space="preserve"> If not for trade, then disallow and add back to income. - Prompt user to add receipt for VAT or just evidence</v>
      </c>
    </row>
    <row r="554" spans="1:6" ht="30" x14ac:dyDescent="0.25">
      <c r="A554" t="s">
        <v>424</v>
      </c>
      <c r="B554" t="s">
        <v>1501</v>
      </c>
      <c r="C554" t="s">
        <v>424</v>
      </c>
      <c r="D554" t="str">
        <f>_xlfn.XLOOKUP(C554,'Allow&amp;Disa Exp by Truelayer cat'!$B:$B,'Allow&amp;Disa Exp by Truelayer cat'!$C:$C)</f>
        <v>Review</v>
      </c>
      <c r="E554" s="116" t="str">
        <f>_xlfn.XLOOKUP(C554,'Allow&amp;Disa Exp by Truelayer cat'!$B:$B,'Allow&amp;Disa Exp by Truelayer cat'!$D:$D)</f>
        <v>"Is this something your business needs….or just a nice fit?"</v>
      </c>
      <c r="F554" t="str">
        <f>_xlfn.XLOOKUP(C554,'Allow&amp;Disa Exp by Truelayer cat'!$B:$B,'Allow&amp;Disa Exp by Truelayer cat'!$E:$E)</f>
        <v xml:space="preserve"> If not for trade, then disallow and add back to income. - Prompt user to add receipt for VAT or just evidence</v>
      </c>
    </row>
    <row r="555" spans="1:6" ht="30" x14ac:dyDescent="0.25">
      <c r="A555" t="s">
        <v>424</v>
      </c>
      <c r="B555" t="s">
        <v>1502</v>
      </c>
      <c r="C555" t="s">
        <v>424</v>
      </c>
      <c r="D555" t="str">
        <f>_xlfn.XLOOKUP(C555,'Allow&amp;Disa Exp by Truelayer cat'!$B:$B,'Allow&amp;Disa Exp by Truelayer cat'!$C:$C)</f>
        <v>Review</v>
      </c>
      <c r="E555" s="116" t="str">
        <f>_xlfn.XLOOKUP(C555,'Allow&amp;Disa Exp by Truelayer cat'!$B:$B,'Allow&amp;Disa Exp by Truelayer cat'!$D:$D)</f>
        <v>"Is this something your business needs….or just a nice fit?"</v>
      </c>
      <c r="F555" t="str">
        <f>_xlfn.XLOOKUP(C555,'Allow&amp;Disa Exp by Truelayer cat'!$B:$B,'Allow&amp;Disa Exp by Truelayer cat'!$E:$E)</f>
        <v xml:space="preserve"> If not for trade, then disallow and add back to income. - Prompt user to add receipt for VAT or just evidence</v>
      </c>
    </row>
    <row r="556" spans="1:6" ht="30" x14ac:dyDescent="0.25">
      <c r="A556" t="s">
        <v>424</v>
      </c>
      <c r="B556" t="s">
        <v>1503</v>
      </c>
      <c r="C556" t="s">
        <v>424</v>
      </c>
      <c r="D556" t="str">
        <f>_xlfn.XLOOKUP(C556,'Allow&amp;Disa Exp by Truelayer cat'!$B:$B,'Allow&amp;Disa Exp by Truelayer cat'!$C:$C)</f>
        <v>Review</v>
      </c>
      <c r="E556" s="116" t="str">
        <f>_xlfn.XLOOKUP(C556,'Allow&amp;Disa Exp by Truelayer cat'!$B:$B,'Allow&amp;Disa Exp by Truelayer cat'!$D:$D)</f>
        <v>"Is this something your business needs….or just a nice fit?"</v>
      </c>
      <c r="F556" t="str">
        <f>_xlfn.XLOOKUP(C556,'Allow&amp;Disa Exp by Truelayer cat'!$B:$B,'Allow&amp;Disa Exp by Truelayer cat'!$E:$E)</f>
        <v xml:space="preserve"> If not for trade, then disallow and add back to income. - Prompt user to add receipt for VAT or just evidence</v>
      </c>
    </row>
    <row r="557" spans="1:6" ht="30" x14ac:dyDescent="0.25">
      <c r="A557" t="s">
        <v>424</v>
      </c>
      <c r="B557" t="s">
        <v>1504</v>
      </c>
      <c r="C557" t="s">
        <v>424</v>
      </c>
      <c r="D557" t="str">
        <f>_xlfn.XLOOKUP(C557,'Allow&amp;Disa Exp by Truelayer cat'!$B:$B,'Allow&amp;Disa Exp by Truelayer cat'!$C:$C)</f>
        <v>Review</v>
      </c>
      <c r="E557" s="116" t="str">
        <f>_xlfn.XLOOKUP(C557,'Allow&amp;Disa Exp by Truelayer cat'!$B:$B,'Allow&amp;Disa Exp by Truelayer cat'!$D:$D)</f>
        <v>"Is this something your business needs….or just a nice fit?"</v>
      </c>
      <c r="F557" t="str">
        <f>_xlfn.XLOOKUP(C557,'Allow&amp;Disa Exp by Truelayer cat'!$B:$B,'Allow&amp;Disa Exp by Truelayer cat'!$E:$E)</f>
        <v xml:space="preserve"> If not for trade, then disallow and add back to income. - Prompt user to add receipt for VAT or just evidence</v>
      </c>
    </row>
    <row r="558" spans="1:6" ht="30" x14ac:dyDescent="0.25">
      <c r="A558" t="s">
        <v>424</v>
      </c>
      <c r="B558" t="s">
        <v>1505</v>
      </c>
      <c r="C558" t="s">
        <v>424</v>
      </c>
      <c r="D558" t="str">
        <f>_xlfn.XLOOKUP(C558,'Allow&amp;Disa Exp by Truelayer cat'!$B:$B,'Allow&amp;Disa Exp by Truelayer cat'!$C:$C)</f>
        <v>Review</v>
      </c>
      <c r="E558" s="116" t="str">
        <f>_xlfn.XLOOKUP(C558,'Allow&amp;Disa Exp by Truelayer cat'!$B:$B,'Allow&amp;Disa Exp by Truelayer cat'!$D:$D)</f>
        <v>"Is this something your business needs….or just a nice fit?"</v>
      </c>
      <c r="F558" t="str">
        <f>_xlfn.XLOOKUP(C558,'Allow&amp;Disa Exp by Truelayer cat'!$B:$B,'Allow&amp;Disa Exp by Truelayer cat'!$E:$E)</f>
        <v xml:space="preserve"> If not for trade, then disallow and add back to income. - Prompt user to add receipt for VAT or just evidence</v>
      </c>
    </row>
    <row r="559" spans="1:6" ht="30" x14ac:dyDescent="0.25">
      <c r="A559" t="s">
        <v>424</v>
      </c>
      <c r="B559" t="s">
        <v>1506</v>
      </c>
      <c r="C559" t="s">
        <v>424</v>
      </c>
      <c r="D559" t="str">
        <f>_xlfn.XLOOKUP(C559,'Allow&amp;Disa Exp by Truelayer cat'!$B:$B,'Allow&amp;Disa Exp by Truelayer cat'!$C:$C)</f>
        <v>Review</v>
      </c>
      <c r="E559" s="116" t="str">
        <f>_xlfn.XLOOKUP(C559,'Allow&amp;Disa Exp by Truelayer cat'!$B:$B,'Allow&amp;Disa Exp by Truelayer cat'!$D:$D)</f>
        <v>"Is this something your business needs….or just a nice fit?"</v>
      </c>
      <c r="F559" t="str">
        <f>_xlfn.XLOOKUP(C559,'Allow&amp;Disa Exp by Truelayer cat'!$B:$B,'Allow&amp;Disa Exp by Truelayer cat'!$E:$E)</f>
        <v xml:space="preserve"> If not for trade, then disallow and add back to income. - Prompt user to add receipt for VAT or just evidence</v>
      </c>
    </row>
    <row r="560" spans="1:6" ht="30" x14ac:dyDescent="0.25">
      <c r="A560" t="s">
        <v>424</v>
      </c>
      <c r="B560" t="s">
        <v>1507</v>
      </c>
      <c r="C560" t="s">
        <v>424</v>
      </c>
      <c r="D560" t="str">
        <f>_xlfn.XLOOKUP(C560,'Allow&amp;Disa Exp by Truelayer cat'!$B:$B,'Allow&amp;Disa Exp by Truelayer cat'!$C:$C)</f>
        <v>Review</v>
      </c>
      <c r="E560" s="116" t="str">
        <f>_xlfn.XLOOKUP(C560,'Allow&amp;Disa Exp by Truelayer cat'!$B:$B,'Allow&amp;Disa Exp by Truelayer cat'!$D:$D)</f>
        <v>"Is this something your business needs….or just a nice fit?"</v>
      </c>
      <c r="F560" t="str">
        <f>_xlfn.XLOOKUP(C560,'Allow&amp;Disa Exp by Truelayer cat'!$B:$B,'Allow&amp;Disa Exp by Truelayer cat'!$E:$E)</f>
        <v xml:space="preserve"> If not for trade, then disallow and add back to income. - Prompt user to add receipt for VAT or just evidence</v>
      </c>
    </row>
    <row r="561" spans="1:6" ht="30" x14ac:dyDescent="0.25">
      <c r="A561" t="s">
        <v>424</v>
      </c>
      <c r="B561" t="s">
        <v>1508</v>
      </c>
      <c r="C561" t="s">
        <v>424</v>
      </c>
      <c r="D561" t="str">
        <f>_xlfn.XLOOKUP(C561,'Allow&amp;Disa Exp by Truelayer cat'!$B:$B,'Allow&amp;Disa Exp by Truelayer cat'!$C:$C)</f>
        <v>Review</v>
      </c>
      <c r="E561" s="116" t="str">
        <f>_xlfn.XLOOKUP(C561,'Allow&amp;Disa Exp by Truelayer cat'!$B:$B,'Allow&amp;Disa Exp by Truelayer cat'!$D:$D)</f>
        <v>"Is this something your business needs….or just a nice fit?"</v>
      </c>
      <c r="F561" t="str">
        <f>_xlfn.XLOOKUP(C561,'Allow&amp;Disa Exp by Truelayer cat'!$B:$B,'Allow&amp;Disa Exp by Truelayer cat'!$E:$E)</f>
        <v xml:space="preserve"> If not for trade, then disallow and add back to income. - Prompt user to add receipt for VAT or just evidence</v>
      </c>
    </row>
    <row r="562" spans="1:6" ht="30" x14ac:dyDescent="0.25">
      <c r="A562" t="s">
        <v>424</v>
      </c>
      <c r="B562" t="s">
        <v>1509</v>
      </c>
      <c r="C562" t="s">
        <v>424</v>
      </c>
      <c r="D562" t="str">
        <f>_xlfn.XLOOKUP(C562,'Allow&amp;Disa Exp by Truelayer cat'!$B:$B,'Allow&amp;Disa Exp by Truelayer cat'!$C:$C)</f>
        <v>Review</v>
      </c>
      <c r="E562" s="116" t="str">
        <f>_xlfn.XLOOKUP(C562,'Allow&amp;Disa Exp by Truelayer cat'!$B:$B,'Allow&amp;Disa Exp by Truelayer cat'!$D:$D)</f>
        <v>"Is this something your business needs….or just a nice fit?"</v>
      </c>
      <c r="F562" t="str">
        <f>_xlfn.XLOOKUP(C562,'Allow&amp;Disa Exp by Truelayer cat'!$B:$B,'Allow&amp;Disa Exp by Truelayer cat'!$E:$E)</f>
        <v xml:space="preserve"> If not for trade, then disallow and add back to income. - Prompt user to add receipt for VAT or just evidence</v>
      </c>
    </row>
    <row r="563" spans="1:6" ht="30" x14ac:dyDescent="0.25">
      <c r="A563" t="s">
        <v>424</v>
      </c>
      <c r="B563" t="s">
        <v>1510</v>
      </c>
      <c r="C563" t="s">
        <v>424</v>
      </c>
      <c r="D563" t="str">
        <f>_xlfn.XLOOKUP(C563,'Allow&amp;Disa Exp by Truelayer cat'!$B:$B,'Allow&amp;Disa Exp by Truelayer cat'!$C:$C)</f>
        <v>Review</v>
      </c>
      <c r="E563" s="116" t="str">
        <f>_xlfn.XLOOKUP(C563,'Allow&amp;Disa Exp by Truelayer cat'!$B:$B,'Allow&amp;Disa Exp by Truelayer cat'!$D:$D)</f>
        <v>"Is this something your business needs….or just a nice fit?"</v>
      </c>
      <c r="F563" t="str">
        <f>_xlfn.XLOOKUP(C563,'Allow&amp;Disa Exp by Truelayer cat'!$B:$B,'Allow&amp;Disa Exp by Truelayer cat'!$E:$E)</f>
        <v xml:space="preserve"> If not for trade, then disallow and add back to income. - Prompt user to add receipt for VAT or just evidence</v>
      </c>
    </row>
    <row r="564" spans="1:6" ht="30" x14ac:dyDescent="0.25">
      <c r="A564" t="s">
        <v>424</v>
      </c>
      <c r="B564" t="s">
        <v>1511</v>
      </c>
      <c r="C564" t="s">
        <v>424</v>
      </c>
      <c r="D564" t="str">
        <f>_xlfn.XLOOKUP(C564,'Allow&amp;Disa Exp by Truelayer cat'!$B:$B,'Allow&amp;Disa Exp by Truelayer cat'!$C:$C)</f>
        <v>Review</v>
      </c>
      <c r="E564" s="116" t="str">
        <f>_xlfn.XLOOKUP(C564,'Allow&amp;Disa Exp by Truelayer cat'!$B:$B,'Allow&amp;Disa Exp by Truelayer cat'!$D:$D)</f>
        <v>"Is this something your business needs….or just a nice fit?"</v>
      </c>
      <c r="F564" t="str">
        <f>_xlfn.XLOOKUP(C564,'Allow&amp;Disa Exp by Truelayer cat'!$B:$B,'Allow&amp;Disa Exp by Truelayer cat'!$E:$E)</f>
        <v xml:space="preserve"> If not for trade, then disallow and add back to income. - Prompt user to add receipt for VAT or just evidence</v>
      </c>
    </row>
    <row r="565" spans="1:6" ht="30" x14ac:dyDescent="0.25">
      <c r="A565" t="s">
        <v>424</v>
      </c>
      <c r="B565" t="s">
        <v>1512</v>
      </c>
      <c r="C565" t="s">
        <v>424</v>
      </c>
      <c r="D565" t="str">
        <f>_xlfn.XLOOKUP(C565,'Allow&amp;Disa Exp by Truelayer cat'!$B:$B,'Allow&amp;Disa Exp by Truelayer cat'!$C:$C)</f>
        <v>Review</v>
      </c>
      <c r="E565" s="116" t="str">
        <f>_xlfn.XLOOKUP(C565,'Allow&amp;Disa Exp by Truelayer cat'!$B:$B,'Allow&amp;Disa Exp by Truelayer cat'!$D:$D)</f>
        <v>"Is this something your business needs….or just a nice fit?"</v>
      </c>
      <c r="F565" t="str">
        <f>_xlfn.XLOOKUP(C565,'Allow&amp;Disa Exp by Truelayer cat'!$B:$B,'Allow&amp;Disa Exp by Truelayer cat'!$E:$E)</f>
        <v xml:space="preserve"> If not for trade, then disallow and add back to income. - Prompt user to add receipt for VAT or just evidence</v>
      </c>
    </row>
    <row r="566" spans="1:6" ht="30" x14ac:dyDescent="0.25">
      <c r="A566" t="s">
        <v>424</v>
      </c>
      <c r="B566" t="s">
        <v>1513</v>
      </c>
      <c r="C566" t="s">
        <v>424</v>
      </c>
      <c r="D566" t="str">
        <f>_xlfn.XLOOKUP(C566,'Allow&amp;Disa Exp by Truelayer cat'!$B:$B,'Allow&amp;Disa Exp by Truelayer cat'!$C:$C)</f>
        <v>Review</v>
      </c>
      <c r="E566" s="116" t="str">
        <f>_xlfn.XLOOKUP(C566,'Allow&amp;Disa Exp by Truelayer cat'!$B:$B,'Allow&amp;Disa Exp by Truelayer cat'!$D:$D)</f>
        <v>"Is this something your business needs….or just a nice fit?"</v>
      </c>
      <c r="F566" t="str">
        <f>_xlfn.XLOOKUP(C566,'Allow&amp;Disa Exp by Truelayer cat'!$B:$B,'Allow&amp;Disa Exp by Truelayer cat'!$E:$E)</f>
        <v xml:space="preserve"> If not for trade, then disallow and add back to income. - Prompt user to add receipt for VAT or just evidence</v>
      </c>
    </row>
    <row r="567" spans="1:6" ht="30" x14ac:dyDescent="0.25">
      <c r="A567" t="s">
        <v>1514</v>
      </c>
      <c r="B567" t="s">
        <v>1458</v>
      </c>
      <c r="C567" t="s">
        <v>425</v>
      </c>
      <c r="D567" t="str">
        <f>_xlfn.XLOOKUP(C567,'Allow&amp;Disa Exp by Truelayer cat'!$B:$B,'Allow&amp;Disa Exp by Truelayer cat'!$C:$C)</f>
        <v>Review</v>
      </c>
      <c r="E567" s="116" t="str">
        <f>_xlfn.XLOOKUP(C567,'Allow&amp;Disa Exp by Truelayer cat'!$B:$B,'Allow&amp;Disa Exp by Truelayer cat'!$D:$D)</f>
        <v>"Was this purchase for trade purposes?"</v>
      </c>
      <c r="F567" t="str">
        <f>_xlfn.XLOOKUP(C567,'Allow&amp;Disa Exp by Truelayer cat'!$B:$B,'Allow&amp;Disa Exp by Truelayer cat'!$E:$E)</f>
        <v xml:space="preserve"> If not for trade, then disallow and add back to income. - Prompt user to add receipt for VAT or just evidence</v>
      </c>
    </row>
    <row r="568" spans="1:6" x14ac:dyDescent="0.25">
      <c r="A568" t="s">
        <v>1514</v>
      </c>
      <c r="B568" t="s">
        <v>1515</v>
      </c>
      <c r="C568" t="s">
        <v>428</v>
      </c>
      <c r="D568" t="str">
        <f>_xlfn.XLOOKUP(C568,'Allow&amp;Disa Exp by Truelayer cat'!$B:$B,'Allow&amp;Disa Exp by Truelayer cat'!$C:$C)</f>
        <v>Disallowable</v>
      </c>
      <c r="E568" s="116">
        <f>_xlfn.XLOOKUP(C568,'Allow&amp;Disa Exp by Truelayer cat'!$B:$B,'Allow&amp;Disa Exp by Truelayer cat'!$D:$D)</f>
        <v>0</v>
      </c>
      <c r="F568" t="str">
        <f>_xlfn.XLOOKUP(C568,'Allow&amp;Disa Exp by Truelayer cat'!$B:$B,'Allow&amp;Disa Exp by Truelayer cat'!$E:$E)</f>
        <v>Add back to income</v>
      </c>
    </row>
    <row r="569" spans="1:6" x14ac:dyDescent="0.25">
      <c r="A569" t="s">
        <v>1514</v>
      </c>
      <c r="B569" t="s">
        <v>1516</v>
      </c>
      <c r="C569" t="s">
        <v>433</v>
      </c>
      <c r="D569" t="str">
        <f>_xlfn.XLOOKUP(C569,'Allow&amp;Disa Exp by Truelayer cat'!$B:$B,'Allow&amp;Disa Exp by Truelayer cat'!$C:$C)</f>
        <v>Disallowable</v>
      </c>
      <c r="E569" s="116">
        <f>_xlfn.XLOOKUP(C569,'Allow&amp;Disa Exp by Truelayer cat'!$B:$B,'Allow&amp;Disa Exp by Truelayer cat'!$D:$D)</f>
        <v>0</v>
      </c>
      <c r="F569" t="str">
        <f>_xlfn.XLOOKUP(C569,'Allow&amp;Disa Exp by Truelayer cat'!$B:$B,'Allow&amp;Disa Exp by Truelayer cat'!$E:$E)</f>
        <v>Add back to income</v>
      </c>
    </row>
    <row r="570" spans="1:6" x14ac:dyDescent="0.25">
      <c r="A570" t="s">
        <v>1514</v>
      </c>
      <c r="B570" t="s">
        <v>1501</v>
      </c>
      <c r="C570" t="s">
        <v>433</v>
      </c>
      <c r="D570" t="str">
        <f>_xlfn.XLOOKUP(C570,'Allow&amp;Disa Exp by Truelayer cat'!$B:$B,'Allow&amp;Disa Exp by Truelayer cat'!$C:$C)</f>
        <v>Disallowable</v>
      </c>
      <c r="E570" s="116">
        <f>_xlfn.XLOOKUP(C570,'Allow&amp;Disa Exp by Truelayer cat'!$B:$B,'Allow&amp;Disa Exp by Truelayer cat'!$D:$D)</f>
        <v>0</v>
      </c>
      <c r="F570" t="str">
        <f>_xlfn.XLOOKUP(C570,'Allow&amp;Disa Exp by Truelayer cat'!$B:$B,'Allow&amp;Disa Exp by Truelayer cat'!$E:$E)</f>
        <v>Add back to income</v>
      </c>
    </row>
    <row r="571" spans="1:6" x14ac:dyDescent="0.25">
      <c r="A571" t="s">
        <v>1514</v>
      </c>
      <c r="B571" t="s">
        <v>1517</v>
      </c>
      <c r="C571" t="s">
        <v>428</v>
      </c>
      <c r="D571" t="str">
        <f>_xlfn.XLOOKUP(C571,'Allow&amp;Disa Exp by Truelayer cat'!$B:$B,'Allow&amp;Disa Exp by Truelayer cat'!$C:$C)</f>
        <v>Disallowable</v>
      </c>
      <c r="E571" s="116">
        <f>_xlfn.XLOOKUP(C571,'Allow&amp;Disa Exp by Truelayer cat'!$B:$B,'Allow&amp;Disa Exp by Truelayer cat'!$D:$D)</f>
        <v>0</v>
      </c>
      <c r="F571" t="str">
        <f>_xlfn.XLOOKUP(C571,'Allow&amp;Disa Exp by Truelayer cat'!$B:$B,'Allow&amp;Disa Exp by Truelayer cat'!$E:$E)</f>
        <v>Add back to income</v>
      </c>
    </row>
    <row r="572" spans="1:6" ht="30" x14ac:dyDescent="0.25">
      <c r="A572" t="s">
        <v>1514</v>
      </c>
      <c r="B572" t="s">
        <v>1518</v>
      </c>
      <c r="C572" t="s">
        <v>420</v>
      </c>
      <c r="D572" t="str">
        <f>_xlfn.XLOOKUP(C572,'Allow&amp;Disa Exp by Truelayer cat'!$B:$B,'Allow&amp;Disa Exp by Truelayer cat'!$C:$C)</f>
        <v>Allowable</v>
      </c>
      <c r="E572" s="116" t="str">
        <f>_xlfn.XLOOKUP(C572,'Allow&amp;Disa Exp by Truelayer cat'!$B:$B,'Allow&amp;Disa Exp by Truelayer cat'!$D:$D)</f>
        <v>"Are these books for trade?...or just for free time?"</v>
      </c>
      <c r="F572" t="str">
        <f>_xlfn.XLOOKUP(C572,'Allow&amp;Disa Exp by Truelayer cat'!$B:$B,'Allow&amp;Disa Exp by Truelayer cat'!$E:$E)</f>
        <v xml:space="preserve"> If not for trade, then disallow and add back to income. - Prompt user to add receipt for VAT or just evidence</v>
      </c>
    </row>
    <row r="573" spans="1:6" ht="30" x14ac:dyDescent="0.25">
      <c r="A573" t="s">
        <v>1514</v>
      </c>
      <c r="B573" t="s">
        <v>1519</v>
      </c>
      <c r="C573" t="s">
        <v>425</v>
      </c>
      <c r="D573" t="str">
        <f>_xlfn.XLOOKUP(C573,'Allow&amp;Disa Exp by Truelayer cat'!$B:$B,'Allow&amp;Disa Exp by Truelayer cat'!$C:$C)</f>
        <v>Review</v>
      </c>
      <c r="E573" s="116" t="str">
        <f>_xlfn.XLOOKUP(C573,'Allow&amp;Disa Exp by Truelayer cat'!$B:$B,'Allow&amp;Disa Exp by Truelayer cat'!$D:$D)</f>
        <v>"Was this purchase for trade purposes?"</v>
      </c>
      <c r="F573" t="str">
        <f>_xlfn.XLOOKUP(C573,'Allow&amp;Disa Exp by Truelayer cat'!$B:$B,'Allow&amp;Disa Exp by Truelayer cat'!$E:$E)</f>
        <v xml:space="preserve"> If not for trade, then disallow and add back to income. - Prompt user to add receipt for VAT or just evidence</v>
      </c>
    </row>
    <row r="574" spans="1:6" ht="30" x14ac:dyDescent="0.25">
      <c r="A574" t="s">
        <v>1520</v>
      </c>
      <c r="B574" t="s">
        <v>1521</v>
      </c>
      <c r="C574" t="s">
        <v>425</v>
      </c>
      <c r="D574" t="str">
        <f>_xlfn.XLOOKUP(C574,'Allow&amp;Disa Exp by Truelayer cat'!$B:$B,'Allow&amp;Disa Exp by Truelayer cat'!$C:$C)</f>
        <v>Review</v>
      </c>
      <c r="E574" s="116" t="str">
        <f>_xlfn.XLOOKUP(C574,'Allow&amp;Disa Exp by Truelayer cat'!$B:$B,'Allow&amp;Disa Exp by Truelayer cat'!$D:$D)</f>
        <v>"Was this purchase for trade purposes?"</v>
      </c>
      <c r="F574" t="str">
        <f>_xlfn.XLOOKUP(C574,'Allow&amp;Disa Exp by Truelayer cat'!$B:$B,'Allow&amp;Disa Exp by Truelayer cat'!$E:$E)</f>
        <v xml:space="preserve"> If not for trade, then disallow and add back to income. - Prompt user to add receipt for VAT or just evidence</v>
      </c>
    </row>
    <row r="575" spans="1:6" ht="30" x14ac:dyDescent="0.25">
      <c r="A575" t="s">
        <v>1520</v>
      </c>
      <c r="B575" t="s">
        <v>1522</v>
      </c>
      <c r="C575" t="s">
        <v>425</v>
      </c>
      <c r="D575" t="str">
        <f>_xlfn.XLOOKUP(C575,'Allow&amp;Disa Exp by Truelayer cat'!$B:$B,'Allow&amp;Disa Exp by Truelayer cat'!$C:$C)</f>
        <v>Review</v>
      </c>
      <c r="E575" s="116" t="str">
        <f>_xlfn.XLOOKUP(C575,'Allow&amp;Disa Exp by Truelayer cat'!$B:$B,'Allow&amp;Disa Exp by Truelayer cat'!$D:$D)</f>
        <v>"Was this purchase for trade purposes?"</v>
      </c>
      <c r="F575" t="str">
        <f>_xlfn.XLOOKUP(C575,'Allow&amp;Disa Exp by Truelayer cat'!$B:$B,'Allow&amp;Disa Exp by Truelayer cat'!$E:$E)</f>
        <v xml:space="preserve"> If not for trade, then disallow and add back to income. - Prompt user to add receipt for VAT or just evidence</v>
      </c>
    </row>
    <row r="576" spans="1:6" ht="30" x14ac:dyDescent="0.25">
      <c r="A576" t="s">
        <v>1520</v>
      </c>
      <c r="B576" t="s">
        <v>1523</v>
      </c>
      <c r="C576" t="s">
        <v>425</v>
      </c>
      <c r="D576" t="str">
        <f>_xlfn.XLOOKUP(C576,'Allow&amp;Disa Exp by Truelayer cat'!$B:$B,'Allow&amp;Disa Exp by Truelayer cat'!$C:$C)</f>
        <v>Review</v>
      </c>
      <c r="E576" s="116" t="str">
        <f>_xlfn.XLOOKUP(C576,'Allow&amp;Disa Exp by Truelayer cat'!$B:$B,'Allow&amp;Disa Exp by Truelayer cat'!$D:$D)</f>
        <v>"Was this purchase for trade purposes?"</v>
      </c>
      <c r="F576" t="str">
        <f>_xlfn.XLOOKUP(C576,'Allow&amp;Disa Exp by Truelayer cat'!$B:$B,'Allow&amp;Disa Exp by Truelayer cat'!$E:$E)</f>
        <v xml:space="preserve"> If not for trade, then disallow and add back to income. - Prompt user to add receipt for VAT or just evidence</v>
      </c>
    </row>
    <row r="577" spans="1:6" ht="30" x14ac:dyDescent="0.25">
      <c r="A577" t="s">
        <v>1520</v>
      </c>
      <c r="B577" t="s">
        <v>1524</v>
      </c>
      <c r="C577" t="s">
        <v>425</v>
      </c>
      <c r="D577" t="str">
        <f>_xlfn.XLOOKUP(C577,'Allow&amp;Disa Exp by Truelayer cat'!$B:$B,'Allow&amp;Disa Exp by Truelayer cat'!$C:$C)</f>
        <v>Review</v>
      </c>
      <c r="E577" s="116" t="str">
        <f>_xlfn.XLOOKUP(C577,'Allow&amp;Disa Exp by Truelayer cat'!$B:$B,'Allow&amp;Disa Exp by Truelayer cat'!$D:$D)</f>
        <v>"Was this purchase for trade purposes?"</v>
      </c>
      <c r="F577" t="str">
        <f>_xlfn.XLOOKUP(C577,'Allow&amp;Disa Exp by Truelayer cat'!$B:$B,'Allow&amp;Disa Exp by Truelayer cat'!$E:$E)</f>
        <v xml:space="preserve"> If not for trade, then disallow and add back to income. - Prompt user to add receipt for VAT or just evidence</v>
      </c>
    </row>
    <row r="578" spans="1:6" ht="30" x14ac:dyDescent="0.25">
      <c r="A578" t="s">
        <v>1520</v>
      </c>
      <c r="B578" t="s">
        <v>1525</v>
      </c>
      <c r="C578" t="s">
        <v>425</v>
      </c>
      <c r="D578" t="str">
        <f>_xlfn.XLOOKUP(C578,'Allow&amp;Disa Exp by Truelayer cat'!$B:$B,'Allow&amp;Disa Exp by Truelayer cat'!$C:$C)</f>
        <v>Review</v>
      </c>
      <c r="E578" s="116" t="str">
        <f>_xlfn.XLOOKUP(C578,'Allow&amp;Disa Exp by Truelayer cat'!$B:$B,'Allow&amp;Disa Exp by Truelayer cat'!$D:$D)</f>
        <v>"Was this purchase for trade purposes?"</v>
      </c>
      <c r="F578" t="str">
        <f>_xlfn.XLOOKUP(C578,'Allow&amp;Disa Exp by Truelayer cat'!$B:$B,'Allow&amp;Disa Exp by Truelayer cat'!$E:$E)</f>
        <v xml:space="preserve"> If not for trade, then disallow and add back to income. - Prompt user to add receipt for VAT or just evidence</v>
      </c>
    </row>
    <row r="579" spans="1:6" ht="30" x14ac:dyDescent="0.25">
      <c r="A579" t="s">
        <v>1520</v>
      </c>
      <c r="B579" t="s">
        <v>1526</v>
      </c>
      <c r="C579" t="s">
        <v>425</v>
      </c>
      <c r="D579" t="str">
        <f>_xlfn.XLOOKUP(C579,'Allow&amp;Disa Exp by Truelayer cat'!$B:$B,'Allow&amp;Disa Exp by Truelayer cat'!$C:$C)</f>
        <v>Review</v>
      </c>
      <c r="E579" s="116" t="str">
        <f>_xlfn.XLOOKUP(C579,'Allow&amp;Disa Exp by Truelayer cat'!$B:$B,'Allow&amp;Disa Exp by Truelayer cat'!$D:$D)</f>
        <v>"Was this purchase for trade purposes?"</v>
      </c>
      <c r="F579" t="str">
        <f>_xlfn.XLOOKUP(C579,'Allow&amp;Disa Exp by Truelayer cat'!$B:$B,'Allow&amp;Disa Exp by Truelayer cat'!$E:$E)</f>
        <v xml:space="preserve"> If not for trade, then disallow and add back to income. - Prompt user to add receipt for VAT or just evidence</v>
      </c>
    </row>
    <row r="580" spans="1:6" ht="30" x14ac:dyDescent="0.25">
      <c r="A580" t="s">
        <v>1520</v>
      </c>
      <c r="B580" t="s">
        <v>1527</v>
      </c>
      <c r="C580" t="s">
        <v>425</v>
      </c>
      <c r="D580" t="str">
        <f>_xlfn.XLOOKUP(C580,'Allow&amp;Disa Exp by Truelayer cat'!$B:$B,'Allow&amp;Disa Exp by Truelayer cat'!$C:$C)</f>
        <v>Review</v>
      </c>
      <c r="E580" s="116" t="str">
        <f>_xlfn.XLOOKUP(C580,'Allow&amp;Disa Exp by Truelayer cat'!$B:$B,'Allow&amp;Disa Exp by Truelayer cat'!$D:$D)</f>
        <v>"Was this purchase for trade purposes?"</v>
      </c>
      <c r="F580" t="str">
        <f>_xlfn.XLOOKUP(C580,'Allow&amp;Disa Exp by Truelayer cat'!$B:$B,'Allow&amp;Disa Exp by Truelayer cat'!$E:$E)</f>
        <v xml:space="preserve"> If not for trade, then disallow and add back to income. - Prompt user to add receipt for VAT or just evidence</v>
      </c>
    </row>
    <row r="581" spans="1:6" ht="30" x14ac:dyDescent="0.25">
      <c r="A581" t="s">
        <v>1520</v>
      </c>
      <c r="B581" t="s">
        <v>1528</v>
      </c>
      <c r="C581" t="s">
        <v>425</v>
      </c>
      <c r="D581" t="str">
        <f>_xlfn.XLOOKUP(C581,'Allow&amp;Disa Exp by Truelayer cat'!$B:$B,'Allow&amp;Disa Exp by Truelayer cat'!$C:$C)</f>
        <v>Review</v>
      </c>
      <c r="E581" s="116" t="str">
        <f>_xlfn.XLOOKUP(C581,'Allow&amp;Disa Exp by Truelayer cat'!$B:$B,'Allow&amp;Disa Exp by Truelayer cat'!$D:$D)</f>
        <v>"Was this purchase for trade purposes?"</v>
      </c>
      <c r="F581" t="str">
        <f>_xlfn.XLOOKUP(C581,'Allow&amp;Disa Exp by Truelayer cat'!$B:$B,'Allow&amp;Disa Exp by Truelayer cat'!$E:$E)</f>
        <v xml:space="preserve"> If not for trade, then disallow and add back to income. - Prompt user to add receipt for VAT or just evidence</v>
      </c>
    </row>
    <row r="582" spans="1:6" ht="30" x14ac:dyDescent="0.25">
      <c r="A582" t="s">
        <v>1520</v>
      </c>
      <c r="B582" t="s">
        <v>1529</v>
      </c>
      <c r="C582" t="s">
        <v>425</v>
      </c>
      <c r="D582" t="str">
        <f>_xlfn.XLOOKUP(C582,'Allow&amp;Disa Exp by Truelayer cat'!$B:$B,'Allow&amp;Disa Exp by Truelayer cat'!$C:$C)</f>
        <v>Review</v>
      </c>
      <c r="E582" s="116" t="str">
        <f>_xlfn.XLOOKUP(C582,'Allow&amp;Disa Exp by Truelayer cat'!$B:$B,'Allow&amp;Disa Exp by Truelayer cat'!$D:$D)</f>
        <v>"Was this purchase for trade purposes?"</v>
      </c>
      <c r="F582" t="str">
        <f>_xlfn.XLOOKUP(C582,'Allow&amp;Disa Exp by Truelayer cat'!$B:$B,'Allow&amp;Disa Exp by Truelayer cat'!$E:$E)</f>
        <v xml:space="preserve"> If not for trade, then disallow and add back to income. - Prompt user to add receipt for VAT or just evidence</v>
      </c>
    </row>
    <row r="583" spans="1:6" ht="30" x14ac:dyDescent="0.25">
      <c r="A583" t="s">
        <v>1520</v>
      </c>
      <c r="B583" t="s">
        <v>1530</v>
      </c>
      <c r="C583" t="s">
        <v>425</v>
      </c>
      <c r="D583" t="str">
        <f>_xlfn.XLOOKUP(C583,'Allow&amp;Disa Exp by Truelayer cat'!$B:$B,'Allow&amp;Disa Exp by Truelayer cat'!$C:$C)</f>
        <v>Review</v>
      </c>
      <c r="E583" s="116" t="str">
        <f>_xlfn.XLOOKUP(C583,'Allow&amp;Disa Exp by Truelayer cat'!$B:$B,'Allow&amp;Disa Exp by Truelayer cat'!$D:$D)</f>
        <v>"Was this purchase for trade purposes?"</v>
      </c>
      <c r="F583" t="str">
        <f>_xlfn.XLOOKUP(C583,'Allow&amp;Disa Exp by Truelayer cat'!$B:$B,'Allow&amp;Disa Exp by Truelayer cat'!$E:$E)</f>
        <v xml:space="preserve"> If not for trade, then disallow and add back to income. - Prompt user to add receipt for VAT or just evidence</v>
      </c>
    </row>
    <row r="584" spans="1:6" ht="30" x14ac:dyDescent="0.25">
      <c r="A584" t="s">
        <v>1520</v>
      </c>
      <c r="B584" t="s">
        <v>1531</v>
      </c>
      <c r="C584" t="s">
        <v>425</v>
      </c>
      <c r="D584" t="str">
        <f>_xlfn.XLOOKUP(C584,'Allow&amp;Disa Exp by Truelayer cat'!$B:$B,'Allow&amp;Disa Exp by Truelayer cat'!$C:$C)</f>
        <v>Review</v>
      </c>
      <c r="E584" s="116" t="str">
        <f>_xlfn.XLOOKUP(C584,'Allow&amp;Disa Exp by Truelayer cat'!$B:$B,'Allow&amp;Disa Exp by Truelayer cat'!$D:$D)</f>
        <v>"Was this purchase for trade purposes?"</v>
      </c>
      <c r="F584" t="str">
        <f>_xlfn.XLOOKUP(C584,'Allow&amp;Disa Exp by Truelayer cat'!$B:$B,'Allow&amp;Disa Exp by Truelayer cat'!$E:$E)</f>
        <v xml:space="preserve"> If not for trade, then disallow and add back to income. - Prompt user to add receipt for VAT or just evidence</v>
      </c>
    </row>
    <row r="585" spans="1:6" ht="30" x14ac:dyDescent="0.25">
      <c r="A585" t="s">
        <v>1520</v>
      </c>
      <c r="B585" t="s">
        <v>1532</v>
      </c>
      <c r="C585" t="s">
        <v>425</v>
      </c>
      <c r="D585" t="str">
        <f>_xlfn.XLOOKUP(C585,'Allow&amp;Disa Exp by Truelayer cat'!$B:$B,'Allow&amp;Disa Exp by Truelayer cat'!$C:$C)</f>
        <v>Review</v>
      </c>
      <c r="E585" s="116" t="str">
        <f>_xlfn.XLOOKUP(C585,'Allow&amp;Disa Exp by Truelayer cat'!$B:$B,'Allow&amp;Disa Exp by Truelayer cat'!$D:$D)</f>
        <v>"Was this purchase for trade purposes?"</v>
      </c>
      <c r="F585" t="str">
        <f>_xlfn.XLOOKUP(C585,'Allow&amp;Disa Exp by Truelayer cat'!$B:$B,'Allow&amp;Disa Exp by Truelayer cat'!$E:$E)</f>
        <v xml:space="preserve"> If not for trade, then disallow and add back to income. - Prompt user to add receipt for VAT or just evidence</v>
      </c>
    </row>
    <row r="586" spans="1:6" ht="30" x14ac:dyDescent="0.25">
      <c r="A586" t="s">
        <v>1520</v>
      </c>
      <c r="B586" t="s">
        <v>1533</v>
      </c>
      <c r="C586" t="s">
        <v>425</v>
      </c>
      <c r="D586" t="str">
        <f>_xlfn.XLOOKUP(C586,'Allow&amp;Disa Exp by Truelayer cat'!$B:$B,'Allow&amp;Disa Exp by Truelayer cat'!$C:$C)</f>
        <v>Review</v>
      </c>
      <c r="E586" s="116" t="str">
        <f>_xlfn.XLOOKUP(C586,'Allow&amp;Disa Exp by Truelayer cat'!$B:$B,'Allow&amp;Disa Exp by Truelayer cat'!$D:$D)</f>
        <v>"Was this purchase for trade purposes?"</v>
      </c>
      <c r="F586" t="str">
        <f>_xlfn.XLOOKUP(C586,'Allow&amp;Disa Exp by Truelayer cat'!$B:$B,'Allow&amp;Disa Exp by Truelayer cat'!$E:$E)</f>
        <v xml:space="preserve"> If not for trade, then disallow and add back to income. - Prompt user to add receipt for VAT or just evidence</v>
      </c>
    </row>
    <row r="587" spans="1:6" ht="30" x14ac:dyDescent="0.25">
      <c r="A587" t="s">
        <v>1520</v>
      </c>
      <c r="B587" t="s">
        <v>1534</v>
      </c>
      <c r="C587" t="s">
        <v>425</v>
      </c>
      <c r="D587" t="str">
        <f>_xlfn.XLOOKUP(C587,'Allow&amp;Disa Exp by Truelayer cat'!$B:$B,'Allow&amp;Disa Exp by Truelayer cat'!$C:$C)</f>
        <v>Review</v>
      </c>
      <c r="E587" s="116" t="str">
        <f>_xlfn.XLOOKUP(C587,'Allow&amp;Disa Exp by Truelayer cat'!$B:$B,'Allow&amp;Disa Exp by Truelayer cat'!$D:$D)</f>
        <v>"Was this purchase for trade purposes?"</v>
      </c>
      <c r="F587" t="str">
        <f>_xlfn.XLOOKUP(C587,'Allow&amp;Disa Exp by Truelayer cat'!$B:$B,'Allow&amp;Disa Exp by Truelayer cat'!$E:$E)</f>
        <v xml:space="preserve"> If not for trade, then disallow and add back to income. - Prompt user to add receipt for VAT or just evidence</v>
      </c>
    </row>
    <row r="588" spans="1:6" ht="30" x14ac:dyDescent="0.25">
      <c r="A588" t="s">
        <v>1520</v>
      </c>
      <c r="B588" t="s">
        <v>1535</v>
      </c>
      <c r="C588" t="s">
        <v>425</v>
      </c>
      <c r="D588" t="str">
        <f>_xlfn.XLOOKUP(C588,'Allow&amp;Disa Exp by Truelayer cat'!$B:$B,'Allow&amp;Disa Exp by Truelayer cat'!$C:$C)</f>
        <v>Review</v>
      </c>
      <c r="E588" s="116" t="str">
        <f>_xlfn.XLOOKUP(C588,'Allow&amp;Disa Exp by Truelayer cat'!$B:$B,'Allow&amp;Disa Exp by Truelayer cat'!$D:$D)</f>
        <v>"Was this purchase for trade purposes?"</v>
      </c>
      <c r="F588" t="str">
        <f>_xlfn.XLOOKUP(C588,'Allow&amp;Disa Exp by Truelayer cat'!$B:$B,'Allow&amp;Disa Exp by Truelayer cat'!$E:$E)</f>
        <v xml:space="preserve"> If not for trade, then disallow and add back to income. - Prompt user to add receipt for VAT or just evidence</v>
      </c>
    </row>
    <row r="589" spans="1:6" ht="30" x14ac:dyDescent="0.25">
      <c r="A589" t="s">
        <v>1520</v>
      </c>
      <c r="B589" t="s">
        <v>1536</v>
      </c>
      <c r="C589" t="s">
        <v>425</v>
      </c>
      <c r="D589" t="str">
        <f>_xlfn.XLOOKUP(C589,'Allow&amp;Disa Exp by Truelayer cat'!$B:$B,'Allow&amp;Disa Exp by Truelayer cat'!$C:$C)</f>
        <v>Review</v>
      </c>
      <c r="E589" s="116" t="str">
        <f>_xlfn.XLOOKUP(C589,'Allow&amp;Disa Exp by Truelayer cat'!$B:$B,'Allow&amp;Disa Exp by Truelayer cat'!$D:$D)</f>
        <v>"Was this purchase for trade purposes?"</v>
      </c>
      <c r="F589" t="str">
        <f>_xlfn.XLOOKUP(C589,'Allow&amp;Disa Exp by Truelayer cat'!$B:$B,'Allow&amp;Disa Exp by Truelayer cat'!$E:$E)</f>
        <v xml:space="preserve"> If not for trade, then disallow and add back to income. - Prompt user to add receipt for VAT or just evidence</v>
      </c>
    </row>
    <row r="590" spans="1:6" ht="30" x14ac:dyDescent="0.25">
      <c r="A590" t="s">
        <v>1520</v>
      </c>
      <c r="B590" t="s">
        <v>1537</v>
      </c>
      <c r="C590" t="s">
        <v>425</v>
      </c>
      <c r="D590" t="str">
        <f>_xlfn.XLOOKUP(C590,'Allow&amp;Disa Exp by Truelayer cat'!$B:$B,'Allow&amp;Disa Exp by Truelayer cat'!$C:$C)</f>
        <v>Review</v>
      </c>
      <c r="E590" s="116" t="str">
        <f>_xlfn.XLOOKUP(C590,'Allow&amp;Disa Exp by Truelayer cat'!$B:$B,'Allow&amp;Disa Exp by Truelayer cat'!$D:$D)</f>
        <v>"Was this purchase for trade purposes?"</v>
      </c>
      <c r="F590" t="str">
        <f>_xlfn.XLOOKUP(C590,'Allow&amp;Disa Exp by Truelayer cat'!$B:$B,'Allow&amp;Disa Exp by Truelayer cat'!$E:$E)</f>
        <v xml:space="preserve"> If not for trade, then disallow and add back to income. - Prompt user to add receipt for VAT or just evidence</v>
      </c>
    </row>
    <row r="591" spans="1:6" ht="30" x14ac:dyDescent="0.25">
      <c r="A591" t="s">
        <v>1520</v>
      </c>
      <c r="B591" t="s">
        <v>1538</v>
      </c>
      <c r="C591" t="s">
        <v>425</v>
      </c>
      <c r="D591" t="str">
        <f>_xlfn.XLOOKUP(C591,'Allow&amp;Disa Exp by Truelayer cat'!$B:$B,'Allow&amp;Disa Exp by Truelayer cat'!$C:$C)</f>
        <v>Review</v>
      </c>
      <c r="E591" s="116" t="str">
        <f>_xlfn.XLOOKUP(C591,'Allow&amp;Disa Exp by Truelayer cat'!$B:$B,'Allow&amp;Disa Exp by Truelayer cat'!$D:$D)</f>
        <v>"Was this purchase for trade purposes?"</v>
      </c>
      <c r="F591" t="str">
        <f>_xlfn.XLOOKUP(C591,'Allow&amp;Disa Exp by Truelayer cat'!$B:$B,'Allow&amp;Disa Exp by Truelayer cat'!$E:$E)</f>
        <v xml:space="preserve"> If not for trade, then disallow and add back to income. - Prompt user to add receipt for VAT or just evidence</v>
      </c>
    </row>
    <row r="592" spans="1:6" x14ac:dyDescent="0.25">
      <c r="A592" t="s">
        <v>1539</v>
      </c>
      <c r="B592" t="s">
        <v>1540</v>
      </c>
      <c r="C592" t="s">
        <v>427</v>
      </c>
      <c r="D592" t="str">
        <f>_xlfn.XLOOKUP(C592,'Allow&amp;Disa Exp by Truelayer cat'!$B:$B,'Allow&amp;Disa Exp by Truelayer cat'!$C:$C)</f>
        <v>Allowable if under £500</v>
      </c>
      <c r="E592" s="116">
        <f>_xlfn.XLOOKUP(C592,'Allow&amp;Disa Exp by Truelayer cat'!$B:$B,'Allow&amp;Disa Exp by Truelayer cat'!$D:$D)</f>
        <v>0</v>
      </c>
      <c r="F592" t="str">
        <f>_xlfn.XLOOKUP(C592,'Allow&amp;Disa Exp by Truelayer cat'!$B:$B,'Allow&amp;Disa Exp by Truelayer cat'!$E:$E)</f>
        <v>Deduct from expenses if under £500</v>
      </c>
    </row>
    <row r="593" spans="1:6" x14ac:dyDescent="0.25">
      <c r="A593" t="s">
        <v>1539</v>
      </c>
      <c r="B593" t="s">
        <v>1541</v>
      </c>
      <c r="C593" t="s">
        <v>427</v>
      </c>
      <c r="D593" t="str">
        <f>_xlfn.XLOOKUP(C593,'Allow&amp;Disa Exp by Truelayer cat'!$B:$B,'Allow&amp;Disa Exp by Truelayer cat'!$C:$C)</f>
        <v>Allowable if under £500</v>
      </c>
      <c r="E593" s="116">
        <f>_xlfn.XLOOKUP(C593,'Allow&amp;Disa Exp by Truelayer cat'!$B:$B,'Allow&amp;Disa Exp by Truelayer cat'!$D:$D)</f>
        <v>0</v>
      </c>
      <c r="F593" t="str">
        <f>_xlfn.XLOOKUP(C593,'Allow&amp;Disa Exp by Truelayer cat'!$B:$B,'Allow&amp;Disa Exp by Truelayer cat'!$E:$E)</f>
        <v>Deduct from expenses if under £500</v>
      </c>
    </row>
    <row r="594" spans="1:6" x14ac:dyDescent="0.25">
      <c r="A594" t="s">
        <v>1539</v>
      </c>
      <c r="B594" t="s">
        <v>1542</v>
      </c>
      <c r="C594" t="s">
        <v>427</v>
      </c>
      <c r="D594" t="str">
        <f>_xlfn.XLOOKUP(C594,'Allow&amp;Disa Exp by Truelayer cat'!$B:$B,'Allow&amp;Disa Exp by Truelayer cat'!$C:$C)</f>
        <v>Allowable if under £500</v>
      </c>
      <c r="E594" s="116">
        <f>_xlfn.XLOOKUP(C594,'Allow&amp;Disa Exp by Truelayer cat'!$B:$B,'Allow&amp;Disa Exp by Truelayer cat'!$D:$D)</f>
        <v>0</v>
      </c>
      <c r="F594" t="str">
        <f>_xlfn.XLOOKUP(C594,'Allow&amp;Disa Exp by Truelayer cat'!$B:$B,'Allow&amp;Disa Exp by Truelayer cat'!$E:$E)</f>
        <v>Deduct from expenses if under £500</v>
      </c>
    </row>
    <row r="595" spans="1:6" x14ac:dyDescent="0.25">
      <c r="A595" t="s">
        <v>1539</v>
      </c>
      <c r="B595" t="s">
        <v>1543</v>
      </c>
      <c r="C595" t="s">
        <v>427</v>
      </c>
      <c r="D595" t="str">
        <f>_xlfn.XLOOKUP(C595,'Allow&amp;Disa Exp by Truelayer cat'!$B:$B,'Allow&amp;Disa Exp by Truelayer cat'!$C:$C)</f>
        <v>Allowable if under £500</v>
      </c>
      <c r="E595" s="116">
        <f>_xlfn.XLOOKUP(C595,'Allow&amp;Disa Exp by Truelayer cat'!$B:$B,'Allow&amp;Disa Exp by Truelayer cat'!$D:$D)</f>
        <v>0</v>
      </c>
      <c r="F595" t="str">
        <f>_xlfn.XLOOKUP(C595,'Allow&amp;Disa Exp by Truelayer cat'!$B:$B,'Allow&amp;Disa Exp by Truelayer cat'!$E:$E)</f>
        <v>Deduct from expenses if under £500</v>
      </c>
    </row>
    <row r="596" spans="1:6" x14ac:dyDescent="0.25">
      <c r="A596" t="s">
        <v>1539</v>
      </c>
      <c r="B596" t="s">
        <v>1544</v>
      </c>
      <c r="C596" t="s">
        <v>427</v>
      </c>
      <c r="D596" t="str">
        <f>_xlfn.XLOOKUP(C596,'Allow&amp;Disa Exp by Truelayer cat'!$B:$B,'Allow&amp;Disa Exp by Truelayer cat'!$C:$C)</f>
        <v>Allowable if under £500</v>
      </c>
      <c r="E596" s="116">
        <f>_xlfn.XLOOKUP(C596,'Allow&amp;Disa Exp by Truelayer cat'!$B:$B,'Allow&amp;Disa Exp by Truelayer cat'!$D:$D)</f>
        <v>0</v>
      </c>
      <c r="F596" t="str">
        <f>_xlfn.XLOOKUP(C596,'Allow&amp;Disa Exp by Truelayer cat'!$B:$B,'Allow&amp;Disa Exp by Truelayer cat'!$E:$E)</f>
        <v>Deduct from expenses if under £500</v>
      </c>
    </row>
    <row r="597" spans="1:6" x14ac:dyDescent="0.25">
      <c r="A597" t="s">
        <v>1539</v>
      </c>
      <c r="B597" t="s">
        <v>1545</v>
      </c>
      <c r="C597" t="s">
        <v>427</v>
      </c>
      <c r="D597" t="str">
        <f>_xlfn.XLOOKUP(C597,'Allow&amp;Disa Exp by Truelayer cat'!$B:$B,'Allow&amp;Disa Exp by Truelayer cat'!$C:$C)</f>
        <v>Allowable if under £500</v>
      </c>
      <c r="E597" s="116">
        <f>_xlfn.XLOOKUP(C597,'Allow&amp;Disa Exp by Truelayer cat'!$B:$B,'Allow&amp;Disa Exp by Truelayer cat'!$D:$D)</f>
        <v>0</v>
      </c>
      <c r="F597" t="str">
        <f>_xlfn.XLOOKUP(C597,'Allow&amp;Disa Exp by Truelayer cat'!$B:$B,'Allow&amp;Disa Exp by Truelayer cat'!$E:$E)</f>
        <v>Deduct from expenses if under £500</v>
      </c>
    </row>
    <row r="598" spans="1:6" x14ac:dyDescent="0.25">
      <c r="A598" t="s">
        <v>1539</v>
      </c>
      <c r="B598" t="s">
        <v>1546</v>
      </c>
      <c r="C598" t="s">
        <v>427</v>
      </c>
      <c r="D598" t="str">
        <f>_xlfn.XLOOKUP(C598,'Allow&amp;Disa Exp by Truelayer cat'!$B:$B,'Allow&amp;Disa Exp by Truelayer cat'!$C:$C)</f>
        <v>Allowable if under £500</v>
      </c>
      <c r="E598" s="116">
        <f>_xlfn.XLOOKUP(C598,'Allow&amp;Disa Exp by Truelayer cat'!$B:$B,'Allow&amp;Disa Exp by Truelayer cat'!$D:$D)</f>
        <v>0</v>
      </c>
      <c r="F598" t="str">
        <f>_xlfn.XLOOKUP(C598,'Allow&amp;Disa Exp by Truelayer cat'!$B:$B,'Allow&amp;Disa Exp by Truelayer cat'!$E:$E)</f>
        <v>Deduct from expenses if under £500</v>
      </c>
    </row>
    <row r="599" spans="1:6" x14ac:dyDescent="0.25">
      <c r="A599" t="s">
        <v>1539</v>
      </c>
      <c r="B599" t="s">
        <v>1547</v>
      </c>
      <c r="C599" t="s">
        <v>427</v>
      </c>
      <c r="D599" t="str">
        <f>_xlfn.XLOOKUP(C599,'Allow&amp;Disa Exp by Truelayer cat'!$B:$B,'Allow&amp;Disa Exp by Truelayer cat'!$C:$C)</f>
        <v>Allowable if under £500</v>
      </c>
      <c r="E599" s="116">
        <f>_xlfn.XLOOKUP(C599,'Allow&amp;Disa Exp by Truelayer cat'!$B:$B,'Allow&amp;Disa Exp by Truelayer cat'!$D:$D)</f>
        <v>0</v>
      </c>
      <c r="F599" t="str">
        <f>_xlfn.XLOOKUP(C599,'Allow&amp;Disa Exp by Truelayer cat'!$B:$B,'Allow&amp;Disa Exp by Truelayer cat'!$E:$E)</f>
        <v>Deduct from expenses if under £500</v>
      </c>
    </row>
    <row r="600" spans="1:6" x14ac:dyDescent="0.25">
      <c r="A600" t="s">
        <v>1539</v>
      </c>
      <c r="B600" t="s">
        <v>1548</v>
      </c>
      <c r="C600" t="s">
        <v>427</v>
      </c>
      <c r="D600" t="str">
        <f>_xlfn.XLOOKUP(C600,'Allow&amp;Disa Exp by Truelayer cat'!$B:$B,'Allow&amp;Disa Exp by Truelayer cat'!$C:$C)</f>
        <v>Allowable if under £500</v>
      </c>
      <c r="E600" s="116">
        <f>_xlfn.XLOOKUP(C600,'Allow&amp;Disa Exp by Truelayer cat'!$B:$B,'Allow&amp;Disa Exp by Truelayer cat'!$D:$D)</f>
        <v>0</v>
      </c>
      <c r="F600" t="str">
        <f>_xlfn.XLOOKUP(C600,'Allow&amp;Disa Exp by Truelayer cat'!$B:$B,'Allow&amp;Disa Exp by Truelayer cat'!$E:$E)</f>
        <v>Deduct from expenses if under £500</v>
      </c>
    </row>
    <row r="601" spans="1:6" x14ac:dyDescent="0.25">
      <c r="A601" t="s">
        <v>1539</v>
      </c>
      <c r="B601" t="s">
        <v>1549</v>
      </c>
      <c r="C601" t="s">
        <v>427</v>
      </c>
      <c r="D601" t="str">
        <f>_xlfn.XLOOKUP(C601,'Allow&amp;Disa Exp by Truelayer cat'!$B:$B,'Allow&amp;Disa Exp by Truelayer cat'!$C:$C)</f>
        <v>Allowable if under £500</v>
      </c>
      <c r="E601" s="116">
        <f>_xlfn.XLOOKUP(C601,'Allow&amp;Disa Exp by Truelayer cat'!$B:$B,'Allow&amp;Disa Exp by Truelayer cat'!$D:$D)</f>
        <v>0</v>
      </c>
      <c r="F601" t="str">
        <f>_xlfn.XLOOKUP(C601,'Allow&amp;Disa Exp by Truelayer cat'!$B:$B,'Allow&amp;Disa Exp by Truelayer cat'!$E:$E)</f>
        <v>Deduct from expenses if under £500</v>
      </c>
    </row>
    <row r="602" spans="1:6" x14ac:dyDescent="0.25">
      <c r="A602" t="s">
        <v>1539</v>
      </c>
      <c r="B602" t="s">
        <v>1550</v>
      </c>
      <c r="C602" t="s">
        <v>427</v>
      </c>
      <c r="D602" t="str">
        <f>_xlfn.XLOOKUP(C602,'Allow&amp;Disa Exp by Truelayer cat'!$B:$B,'Allow&amp;Disa Exp by Truelayer cat'!$C:$C)</f>
        <v>Allowable if under £500</v>
      </c>
      <c r="E602" s="116">
        <f>_xlfn.XLOOKUP(C602,'Allow&amp;Disa Exp by Truelayer cat'!$B:$B,'Allow&amp;Disa Exp by Truelayer cat'!$D:$D)</f>
        <v>0</v>
      </c>
      <c r="F602" t="str">
        <f>_xlfn.XLOOKUP(C602,'Allow&amp;Disa Exp by Truelayer cat'!$B:$B,'Allow&amp;Disa Exp by Truelayer cat'!$E:$E)</f>
        <v>Deduct from expenses if under £500</v>
      </c>
    </row>
    <row r="603" spans="1:6" x14ac:dyDescent="0.25">
      <c r="A603" t="s">
        <v>1539</v>
      </c>
      <c r="B603" t="s">
        <v>1551</v>
      </c>
      <c r="C603" t="s">
        <v>427</v>
      </c>
      <c r="D603" t="str">
        <f>_xlfn.XLOOKUP(C603,'Allow&amp;Disa Exp by Truelayer cat'!$B:$B,'Allow&amp;Disa Exp by Truelayer cat'!$C:$C)</f>
        <v>Allowable if under £500</v>
      </c>
      <c r="E603" s="116">
        <f>_xlfn.XLOOKUP(C603,'Allow&amp;Disa Exp by Truelayer cat'!$B:$B,'Allow&amp;Disa Exp by Truelayer cat'!$D:$D)</f>
        <v>0</v>
      </c>
      <c r="F603" t="str">
        <f>_xlfn.XLOOKUP(C603,'Allow&amp;Disa Exp by Truelayer cat'!$B:$B,'Allow&amp;Disa Exp by Truelayer cat'!$E:$E)</f>
        <v>Deduct from expenses if under £500</v>
      </c>
    </row>
    <row r="604" spans="1:6" x14ac:dyDescent="0.25">
      <c r="A604" t="s">
        <v>1539</v>
      </c>
      <c r="B604" t="s">
        <v>1552</v>
      </c>
      <c r="C604" t="s">
        <v>427</v>
      </c>
      <c r="D604" t="str">
        <f>_xlfn.XLOOKUP(C604,'Allow&amp;Disa Exp by Truelayer cat'!$B:$B,'Allow&amp;Disa Exp by Truelayer cat'!$C:$C)</f>
        <v>Allowable if under £500</v>
      </c>
      <c r="E604" s="116">
        <f>_xlfn.XLOOKUP(C604,'Allow&amp;Disa Exp by Truelayer cat'!$B:$B,'Allow&amp;Disa Exp by Truelayer cat'!$D:$D)</f>
        <v>0</v>
      </c>
      <c r="F604" t="str">
        <f>_xlfn.XLOOKUP(C604,'Allow&amp;Disa Exp by Truelayer cat'!$B:$B,'Allow&amp;Disa Exp by Truelayer cat'!$E:$E)</f>
        <v>Deduct from expenses if under £500</v>
      </c>
    </row>
    <row r="605" spans="1:6" x14ac:dyDescent="0.25">
      <c r="A605" t="s">
        <v>1539</v>
      </c>
      <c r="B605" t="s">
        <v>1553</v>
      </c>
      <c r="C605" t="s">
        <v>427</v>
      </c>
      <c r="D605" t="str">
        <f>_xlfn.XLOOKUP(C605,'Allow&amp;Disa Exp by Truelayer cat'!$B:$B,'Allow&amp;Disa Exp by Truelayer cat'!$C:$C)</f>
        <v>Allowable if under £500</v>
      </c>
      <c r="E605" s="116">
        <f>_xlfn.XLOOKUP(C605,'Allow&amp;Disa Exp by Truelayer cat'!$B:$B,'Allow&amp;Disa Exp by Truelayer cat'!$D:$D)</f>
        <v>0</v>
      </c>
      <c r="F605" t="str">
        <f>_xlfn.XLOOKUP(C605,'Allow&amp;Disa Exp by Truelayer cat'!$B:$B,'Allow&amp;Disa Exp by Truelayer cat'!$E:$E)</f>
        <v>Deduct from expenses if under £500</v>
      </c>
    </row>
    <row r="606" spans="1:6" x14ac:dyDescent="0.25">
      <c r="A606" t="s">
        <v>1539</v>
      </c>
      <c r="B606" t="s">
        <v>1554</v>
      </c>
      <c r="C606" t="s">
        <v>427</v>
      </c>
      <c r="D606" t="str">
        <f>_xlfn.XLOOKUP(C606,'Allow&amp;Disa Exp by Truelayer cat'!$B:$B,'Allow&amp;Disa Exp by Truelayer cat'!$C:$C)</f>
        <v>Allowable if under £500</v>
      </c>
      <c r="E606" s="116">
        <f>_xlfn.XLOOKUP(C606,'Allow&amp;Disa Exp by Truelayer cat'!$B:$B,'Allow&amp;Disa Exp by Truelayer cat'!$D:$D)</f>
        <v>0</v>
      </c>
      <c r="F606" t="str">
        <f>_xlfn.XLOOKUP(C606,'Allow&amp;Disa Exp by Truelayer cat'!$B:$B,'Allow&amp;Disa Exp by Truelayer cat'!$E:$E)</f>
        <v>Deduct from expenses if under £500</v>
      </c>
    </row>
    <row r="607" spans="1:6" x14ac:dyDescent="0.25">
      <c r="A607" t="s">
        <v>1539</v>
      </c>
      <c r="B607" t="s">
        <v>1555</v>
      </c>
      <c r="C607" t="s">
        <v>427</v>
      </c>
      <c r="D607" t="str">
        <f>_xlfn.XLOOKUP(C607,'Allow&amp;Disa Exp by Truelayer cat'!$B:$B,'Allow&amp;Disa Exp by Truelayer cat'!$C:$C)</f>
        <v>Allowable if under £500</v>
      </c>
      <c r="E607" s="116">
        <f>_xlfn.XLOOKUP(C607,'Allow&amp;Disa Exp by Truelayer cat'!$B:$B,'Allow&amp;Disa Exp by Truelayer cat'!$D:$D)</f>
        <v>0</v>
      </c>
      <c r="F607" t="str">
        <f>_xlfn.XLOOKUP(C607,'Allow&amp;Disa Exp by Truelayer cat'!$B:$B,'Allow&amp;Disa Exp by Truelayer cat'!$E:$E)</f>
        <v>Deduct from expenses if under £500</v>
      </c>
    </row>
    <row r="608" spans="1:6" x14ac:dyDescent="0.25">
      <c r="A608" t="s">
        <v>1539</v>
      </c>
      <c r="B608" t="s">
        <v>1556</v>
      </c>
      <c r="C608" t="s">
        <v>427</v>
      </c>
      <c r="D608" t="str">
        <f>_xlfn.XLOOKUP(C608,'Allow&amp;Disa Exp by Truelayer cat'!$B:$B,'Allow&amp;Disa Exp by Truelayer cat'!$C:$C)</f>
        <v>Allowable if under £500</v>
      </c>
      <c r="E608" s="116">
        <f>_xlfn.XLOOKUP(C608,'Allow&amp;Disa Exp by Truelayer cat'!$B:$B,'Allow&amp;Disa Exp by Truelayer cat'!$D:$D)</f>
        <v>0</v>
      </c>
      <c r="F608" t="str">
        <f>_xlfn.XLOOKUP(C608,'Allow&amp;Disa Exp by Truelayer cat'!$B:$B,'Allow&amp;Disa Exp by Truelayer cat'!$E:$E)</f>
        <v>Deduct from expenses if under £500</v>
      </c>
    </row>
    <row r="609" spans="1:6" x14ac:dyDescent="0.25">
      <c r="A609" t="s">
        <v>1539</v>
      </c>
      <c r="B609" t="s">
        <v>1557</v>
      </c>
      <c r="C609" t="s">
        <v>427</v>
      </c>
      <c r="D609" t="str">
        <f>_xlfn.XLOOKUP(C609,'Allow&amp;Disa Exp by Truelayer cat'!$B:$B,'Allow&amp;Disa Exp by Truelayer cat'!$C:$C)</f>
        <v>Allowable if under £500</v>
      </c>
      <c r="E609" s="116">
        <f>_xlfn.XLOOKUP(C609,'Allow&amp;Disa Exp by Truelayer cat'!$B:$B,'Allow&amp;Disa Exp by Truelayer cat'!$D:$D)</f>
        <v>0</v>
      </c>
      <c r="F609" t="str">
        <f>_xlfn.XLOOKUP(C609,'Allow&amp;Disa Exp by Truelayer cat'!$B:$B,'Allow&amp;Disa Exp by Truelayer cat'!$E:$E)</f>
        <v>Deduct from expenses if under £500</v>
      </c>
    </row>
    <row r="610" spans="1:6" x14ac:dyDescent="0.25">
      <c r="A610" t="s">
        <v>1539</v>
      </c>
      <c r="B610" t="s">
        <v>1558</v>
      </c>
      <c r="C610" t="s">
        <v>427</v>
      </c>
      <c r="D610" t="str">
        <f>_xlfn.XLOOKUP(C610,'Allow&amp;Disa Exp by Truelayer cat'!$B:$B,'Allow&amp;Disa Exp by Truelayer cat'!$C:$C)</f>
        <v>Allowable if under £500</v>
      </c>
      <c r="E610" s="116">
        <f>_xlfn.XLOOKUP(C610,'Allow&amp;Disa Exp by Truelayer cat'!$B:$B,'Allow&amp;Disa Exp by Truelayer cat'!$D:$D)</f>
        <v>0</v>
      </c>
      <c r="F610" t="str">
        <f>_xlfn.XLOOKUP(C610,'Allow&amp;Disa Exp by Truelayer cat'!$B:$B,'Allow&amp;Disa Exp by Truelayer cat'!$E:$E)</f>
        <v>Deduct from expenses if under £500</v>
      </c>
    </row>
    <row r="611" spans="1:6" x14ac:dyDescent="0.25">
      <c r="A611" t="s">
        <v>1539</v>
      </c>
      <c r="B611" t="s">
        <v>1559</v>
      </c>
      <c r="C611" t="s">
        <v>427</v>
      </c>
      <c r="D611" t="str">
        <f>_xlfn.XLOOKUP(C611,'Allow&amp;Disa Exp by Truelayer cat'!$B:$B,'Allow&amp;Disa Exp by Truelayer cat'!$C:$C)</f>
        <v>Allowable if under £500</v>
      </c>
      <c r="E611" s="116">
        <f>_xlfn.XLOOKUP(C611,'Allow&amp;Disa Exp by Truelayer cat'!$B:$B,'Allow&amp;Disa Exp by Truelayer cat'!$D:$D)</f>
        <v>0</v>
      </c>
      <c r="F611" t="str">
        <f>_xlfn.XLOOKUP(C611,'Allow&amp;Disa Exp by Truelayer cat'!$B:$B,'Allow&amp;Disa Exp by Truelayer cat'!$E:$E)</f>
        <v>Deduct from expenses if under £500</v>
      </c>
    </row>
    <row r="612" spans="1:6" ht="60" x14ac:dyDescent="0.25">
      <c r="A612" t="s">
        <v>1560</v>
      </c>
      <c r="B612" t="s">
        <v>1561</v>
      </c>
      <c r="C612" t="s">
        <v>423</v>
      </c>
      <c r="D612" t="str">
        <f>_xlfn.XLOOKUP(C612,'Allow&amp;Disa Exp by Truelayer cat'!$B:$B,'Allow&amp;Disa Exp by Truelayer cat'!$C:$C)</f>
        <v>Review</v>
      </c>
      <c r="E612" s="116" t="str">
        <f>_xlfn.XLOOKUP(C612,'Allow&amp;Disa Exp by Truelayer cat'!$B:$B,'Allow&amp;Disa Exp by Truelayer cat'!$D:$D)</f>
        <v>"We see you've bought some groceries! Was this grocery haul fuel for your business….or just dinner?"</v>
      </c>
      <c r="F612" t="str">
        <f>_xlfn.XLOOKUP(C612,'Allow&amp;Disa Exp by Truelayer cat'!$B:$B,'Allow&amp;Disa Exp by Truelayer cat'!$E:$E)</f>
        <v xml:space="preserve"> If not for trade, then disallow and add back to income. - Prompt user to add receipt for VAT or just evidence</v>
      </c>
    </row>
    <row r="613" spans="1:6" ht="60" x14ac:dyDescent="0.25">
      <c r="A613" t="s">
        <v>1560</v>
      </c>
      <c r="B613" t="s">
        <v>1562</v>
      </c>
      <c r="C613" t="s">
        <v>423</v>
      </c>
      <c r="D613" t="str">
        <f>_xlfn.XLOOKUP(C613,'Allow&amp;Disa Exp by Truelayer cat'!$B:$B,'Allow&amp;Disa Exp by Truelayer cat'!$C:$C)</f>
        <v>Review</v>
      </c>
      <c r="E613" s="116" t="str">
        <f>_xlfn.XLOOKUP(C613,'Allow&amp;Disa Exp by Truelayer cat'!$B:$B,'Allow&amp;Disa Exp by Truelayer cat'!$D:$D)</f>
        <v>"We see you've bought some groceries! Was this grocery haul fuel for your business….or just dinner?"</v>
      </c>
      <c r="F613" t="str">
        <f>_xlfn.XLOOKUP(C613,'Allow&amp;Disa Exp by Truelayer cat'!$B:$B,'Allow&amp;Disa Exp by Truelayer cat'!$E:$E)</f>
        <v xml:space="preserve"> If not for trade, then disallow and add back to income. - Prompt user to add receipt for VAT or just evidence</v>
      </c>
    </row>
    <row r="614" spans="1:6" ht="60" x14ac:dyDescent="0.25">
      <c r="A614" t="s">
        <v>1560</v>
      </c>
      <c r="B614" t="s">
        <v>1563</v>
      </c>
      <c r="C614" t="s">
        <v>423</v>
      </c>
      <c r="D614" t="str">
        <f>_xlfn.XLOOKUP(C614,'Allow&amp;Disa Exp by Truelayer cat'!$B:$B,'Allow&amp;Disa Exp by Truelayer cat'!$C:$C)</f>
        <v>Review</v>
      </c>
      <c r="E614" s="116" t="str">
        <f>_xlfn.XLOOKUP(C614,'Allow&amp;Disa Exp by Truelayer cat'!$B:$B,'Allow&amp;Disa Exp by Truelayer cat'!$D:$D)</f>
        <v>"We see you've bought some groceries! Was this grocery haul fuel for your business….or just dinner?"</v>
      </c>
      <c r="F614" t="str">
        <f>_xlfn.XLOOKUP(C614,'Allow&amp;Disa Exp by Truelayer cat'!$B:$B,'Allow&amp;Disa Exp by Truelayer cat'!$E:$E)</f>
        <v xml:space="preserve"> If not for trade, then disallow and add back to income. - Prompt user to add receipt for VAT or just evidence</v>
      </c>
    </row>
    <row r="615" spans="1:6" ht="60" x14ac:dyDescent="0.25">
      <c r="A615" t="s">
        <v>1560</v>
      </c>
      <c r="B615" t="s">
        <v>1564</v>
      </c>
      <c r="C615" t="s">
        <v>423</v>
      </c>
      <c r="D615" t="str">
        <f>_xlfn.XLOOKUP(C615,'Allow&amp;Disa Exp by Truelayer cat'!$B:$B,'Allow&amp;Disa Exp by Truelayer cat'!$C:$C)</f>
        <v>Review</v>
      </c>
      <c r="E615" s="116" t="str">
        <f>_xlfn.XLOOKUP(C615,'Allow&amp;Disa Exp by Truelayer cat'!$B:$B,'Allow&amp;Disa Exp by Truelayer cat'!$D:$D)</f>
        <v>"We see you've bought some groceries! Was this grocery haul fuel for your business….or just dinner?"</v>
      </c>
      <c r="F615" t="str">
        <f>_xlfn.XLOOKUP(C615,'Allow&amp;Disa Exp by Truelayer cat'!$B:$B,'Allow&amp;Disa Exp by Truelayer cat'!$E:$E)</f>
        <v xml:space="preserve"> If not for trade, then disallow and add back to income. - Prompt user to add receipt for VAT or just evidence</v>
      </c>
    </row>
    <row r="616" spans="1:6" ht="60" x14ac:dyDescent="0.25">
      <c r="A616" t="s">
        <v>1560</v>
      </c>
      <c r="B616" t="s">
        <v>1565</v>
      </c>
      <c r="C616" t="s">
        <v>423</v>
      </c>
      <c r="D616" t="str">
        <f>_xlfn.XLOOKUP(C616,'Allow&amp;Disa Exp by Truelayer cat'!$B:$B,'Allow&amp;Disa Exp by Truelayer cat'!$C:$C)</f>
        <v>Review</v>
      </c>
      <c r="E616" s="116" t="str">
        <f>_xlfn.XLOOKUP(C616,'Allow&amp;Disa Exp by Truelayer cat'!$B:$B,'Allow&amp;Disa Exp by Truelayer cat'!$D:$D)</f>
        <v>"We see you've bought some groceries! Was this grocery haul fuel for your business….or just dinner?"</v>
      </c>
      <c r="F616" t="str">
        <f>_xlfn.XLOOKUP(C616,'Allow&amp;Disa Exp by Truelayer cat'!$B:$B,'Allow&amp;Disa Exp by Truelayer cat'!$E:$E)</f>
        <v xml:space="preserve"> If not for trade, then disallow and add back to income. - Prompt user to add receipt for VAT or just evidence</v>
      </c>
    </row>
    <row r="617" spans="1:6" ht="60" x14ac:dyDescent="0.25">
      <c r="A617" t="s">
        <v>1560</v>
      </c>
      <c r="B617" t="s">
        <v>1566</v>
      </c>
      <c r="C617" t="s">
        <v>423</v>
      </c>
      <c r="D617" t="str">
        <f>_xlfn.XLOOKUP(C617,'Allow&amp;Disa Exp by Truelayer cat'!$B:$B,'Allow&amp;Disa Exp by Truelayer cat'!$C:$C)</f>
        <v>Review</v>
      </c>
      <c r="E617" s="116" t="str">
        <f>_xlfn.XLOOKUP(C617,'Allow&amp;Disa Exp by Truelayer cat'!$B:$B,'Allow&amp;Disa Exp by Truelayer cat'!$D:$D)</f>
        <v>"We see you've bought some groceries! Was this grocery haul fuel for your business….or just dinner?"</v>
      </c>
      <c r="F617" t="str">
        <f>_xlfn.XLOOKUP(C617,'Allow&amp;Disa Exp by Truelayer cat'!$B:$B,'Allow&amp;Disa Exp by Truelayer cat'!$E:$E)</f>
        <v xml:space="preserve"> If not for trade, then disallow and add back to income. - Prompt user to add receipt for VAT or just evidence</v>
      </c>
    </row>
    <row r="618" spans="1:6" ht="60" x14ac:dyDescent="0.25">
      <c r="A618" t="s">
        <v>1560</v>
      </c>
      <c r="B618" t="s">
        <v>1567</v>
      </c>
      <c r="C618" t="s">
        <v>423</v>
      </c>
      <c r="D618" t="str">
        <f>_xlfn.XLOOKUP(C618,'Allow&amp;Disa Exp by Truelayer cat'!$B:$B,'Allow&amp;Disa Exp by Truelayer cat'!$C:$C)</f>
        <v>Review</v>
      </c>
      <c r="E618" s="116" t="str">
        <f>_xlfn.XLOOKUP(C618,'Allow&amp;Disa Exp by Truelayer cat'!$B:$B,'Allow&amp;Disa Exp by Truelayer cat'!$D:$D)</f>
        <v>"We see you've bought some groceries! Was this grocery haul fuel for your business….or just dinner?"</v>
      </c>
      <c r="F618" t="str">
        <f>_xlfn.XLOOKUP(C618,'Allow&amp;Disa Exp by Truelayer cat'!$B:$B,'Allow&amp;Disa Exp by Truelayer cat'!$E:$E)</f>
        <v xml:space="preserve"> If not for trade, then disallow and add back to income. - Prompt user to add receipt for VAT or just evidence</v>
      </c>
    </row>
    <row r="619" spans="1:6" ht="60" x14ac:dyDescent="0.25">
      <c r="A619" t="s">
        <v>1560</v>
      </c>
      <c r="B619" t="s">
        <v>1568</v>
      </c>
      <c r="C619" t="s">
        <v>423</v>
      </c>
      <c r="D619" t="str">
        <f>_xlfn.XLOOKUP(C619,'Allow&amp;Disa Exp by Truelayer cat'!$B:$B,'Allow&amp;Disa Exp by Truelayer cat'!$C:$C)</f>
        <v>Review</v>
      </c>
      <c r="E619" s="116" t="str">
        <f>_xlfn.XLOOKUP(C619,'Allow&amp;Disa Exp by Truelayer cat'!$B:$B,'Allow&amp;Disa Exp by Truelayer cat'!$D:$D)</f>
        <v>"We see you've bought some groceries! Was this grocery haul fuel for your business….or just dinner?"</v>
      </c>
      <c r="F619" t="str">
        <f>_xlfn.XLOOKUP(C619,'Allow&amp;Disa Exp by Truelayer cat'!$B:$B,'Allow&amp;Disa Exp by Truelayer cat'!$E:$E)</f>
        <v xml:space="preserve"> If not for trade, then disallow and add back to income. - Prompt user to add receipt for VAT or just evidence</v>
      </c>
    </row>
    <row r="620" spans="1:6" ht="60" x14ac:dyDescent="0.25">
      <c r="A620" t="s">
        <v>1560</v>
      </c>
      <c r="B620" t="s">
        <v>1569</v>
      </c>
      <c r="C620" t="s">
        <v>423</v>
      </c>
      <c r="D620" t="str">
        <f>_xlfn.XLOOKUP(C620,'Allow&amp;Disa Exp by Truelayer cat'!$B:$B,'Allow&amp;Disa Exp by Truelayer cat'!$C:$C)</f>
        <v>Review</v>
      </c>
      <c r="E620" s="116" t="str">
        <f>_xlfn.XLOOKUP(C620,'Allow&amp;Disa Exp by Truelayer cat'!$B:$B,'Allow&amp;Disa Exp by Truelayer cat'!$D:$D)</f>
        <v>"We see you've bought some groceries! Was this grocery haul fuel for your business….or just dinner?"</v>
      </c>
      <c r="F620" t="str">
        <f>_xlfn.XLOOKUP(C620,'Allow&amp;Disa Exp by Truelayer cat'!$B:$B,'Allow&amp;Disa Exp by Truelayer cat'!$E:$E)</f>
        <v xml:space="preserve"> If not for trade, then disallow and add back to income. - Prompt user to add receipt for VAT or just evidence</v>
      </c>
    </row>
    <row r="621" spans="1:6" ht="60" x14ac:dyDescent="0.25">
      <c r="A621" t="s">
        <v>1560</v>
      </c>
      <c r="B621" t="s">
        <v>1570</v>
      </c>
      <c r="C621" t="s">
        <v>423</v>
      </c>
      <c r="D621" t="str">
        <f>_xlfn.XLOOKUP(C621,'Allow&amp;Disa Exp by Truelayer cat'!$B:$B,'Allow&amp;Disa Exp by Truelayer cat'!$C:$C)</f>
        <v>Review</v>
      </c>
      <c r="E621" s="116" t="str">
        <f>_xlfn.XLOOKUP(C621,'Allow&amp;Disa Exp by Truelayer cat'!$B:$B,'Allow&amp;Disa Exp by Truelayer cat'!$D:$D)</f>
        <v>"We see you've bought some groceries! Was this grocery haul fuel for your business….or just dinner?"</v>
      </c>
      <c r="F621" t="str">
        <f>_xlfn.XLOOKUP(C621,'Allow&amp;Disa Exp by Truelayer cat'!$B:$B,'Allow&amp;Disa Exp by Truelayer cat'!$E:$E)</f>
        <v xml:space="preserve"> If not for trade, then disallow and add back to income. - Prompt user to add receipt for VAT or just evidence</v>
      </c>
    </row>
    <row r="622" spans="1:6" ht="60" x14ac:dyDescent="0.25">
      <c r="A622" t="s">
        <v>1560</v>
      </c>
      <c r="B622" t="s">
        <v>1571</v>
      </c>
      <c r="C622" t="s">
        <v>423</v>
      </c>
      <c r="D622" t="str">
        <f>_xlfn.XLOOKUP(C622,'Allow&amp;Disa Exp by Truelayer cat'!$B:$B,'Allow&amp;Disa Exp by Truelayer cat'!$C:$C)</f>
        <v>Review</v>
      </c>
      <c r="E622" s="116" t="str">
        <f>_xlfn.XLOOKUP(C622,'Allow&amp;Disa Exp by Truelayer cat'!$B:$B,'Allow&amp;Disa Exp by Truelayer cat'!$D:$D)</f>
        <v>"We see you've bought some groceries! Was this grocery haul fuel for your business….or just dinner?"</v>
      </c>
      <c r="F622" t="str">
        <f>_xlfn.XLOOKUP(C622,'Allow&amp;Disa Exp by Truelayer cat'!$B:$B,'Allow&amp;Disa Exp by Truelayer cat'!$E:$E)</f>
        <v xml:space="preserve"> If not for trade, then disallow and add back to income. - Prompt user to add receipt for VAT or just evidence</v>
      </c>
    </row>
    <row r="623" spans="1:6" ht="60" x14ac:dyDescent="0.25">
      <c r="A623" t="s">
        <v>1560</v>
      </c>
      <c r="B623" t="s">
        <v>1572</v>
      </c>
      <c r="C623" t="s">
        <v>423</v>
      </c>
      <c r="D623" t="str">
        <f>_xlfn.XLOOKUP(C623,'Allow&amp;Disa Exp by Truelayer cat'!$B:$B,'Allow&amp;Disa Exp by Truelayer cat'!$C:$C)</f>
        <v>Review</v>
      </c>
      <c r="E623" s="116" t="str">
        <f>_xlfn.XLOOKUP(C623,'Allow&amp;Disa Exp by Truelayer cat'!$B:$B,'Allow&amp;Disa Exp by Truelayer cat'!$D:$D)</f>
        <v>"We see you've bought some groceries! Was this grocery haul fuel for your business….or just dinner?"</v>
      </c>
      <c r="F623" t="str">
        <f>_xlfn.XLOOKUP(C623,'Allow&amp;Disa Exp by Truelayer cat'!$B:$B,'Allow&amp;Disa Exp by Truelayer cat'!$E:$E)</f>
        <v xml:space="preserve"> If not for trade, then disallow and add back to income. - Prompt user to add receipt for VAT or just evidence</v>
      </c>
    </row>
    <row r="624" spans="1:6" ht="60" x14ac:dyDescent="0.25">
      <c r="A624" t="s">
        <v>1560</v>
      </c>
      <c r="B624" t="s">
        <v>1573</v>
      </c>
      <c r="C624" t="s">
        <v>423</v>
      </c>
      <c r="D624" t="str">
        <f>_xlfn.XLOOKUP(C624,'Allow&amp;Disa Exp by Truelayer cat'!$B:$B,'Allow&amp;Disa Exp by Truelayer cat'!$C:$C)</f>
        <v>Review</v>
      </c>
      <c r="E624" s="116" t="str">
        <f>_xlfn.XLOOKUP(C624,'Allow&amp;Disa Exp by Truelayer cat'!$B:$B,'Allow&amp;Disa Exp by Truelayer cat'!$D:$D)</f>
        <v>"We see you've bought some groceries! Was this grocery haul fuel for your business….or just dinner?"</v>
      </c>
      <c r="F624" t="str">
        <f>_xlfn.XLOOKUP(C624,'Allow&amp;Disa Exp by Truelayer cat'!$B:$B,'Allow&amp;Disa Exp by Truelayer cat'!$E:$E)</f>
        <v xml:space="preserve"> If not for trade, then disallow and add back to income. - Prompt user to add receipt for VAT or just evidence</v>
      </c>
    </row>
    <row r="625" spans="1:6" ht="60" x14ac:dyDescent="0.25">
      <c r="A625" t="s">
        <v>1560</v>
      </c>
      <c r="B625" t="s">
        <v>1574</v>
      </c>
      <c r="C625" t="s">
        <v>423</v>
      </c>
      <c r="D625" t="str">
        <f>_xlfn.XLOOKUP(C625,'Allow&amp;Disa Exp by Truelayer cat'!$B:$B,'Allow&amp;Disa Exp by Truelayer cat'!$C:$C)</f>
        <v>Review</v>
      </c>
      <c r="E625" s="116" t="str">
        <f>_xlfn.XLOOKUP(C625,'Allow&amp;Disa Exp by Truelayer cat'!$B:$B,'Allow&amp;Disa Exp by Truelayer cat'!$D:$D)</f>
        <v>"We see you've bought some groceries! Was this grocery haul fuel for your business….or just dinner?"</v>
      </c>
      <c r="F625" t="str">
        <f>_xlfn.XLOOKUP(C625,'Allow&amp;Disa Exp by Truelayer cat'!$B:$B,'Allow&amp;Disa Exp by Truelayer cat'!$E:$E)</f>
        <v xml:space="preserve"> If not for trade, then disallow and add back to income. - Prompt user to add receipt for VAT or just evidence</v>
      </c>
    </row>
    <row r="626" spans="1:6" ht="60" x14ac:dyDescent="0.25">
      <c r="A626" t="s">
        <v>1560</v>
      </c>
      <c r="B626" t="s">
        <v>1575</v>
      </c>
      <c r="C626" t="s">
        <v>423</v>
      </c>
      <c r="D626" t="str">
        <f>_xlfn.XLOOKUP(C626,'Allow&amp;Disa Exp by Truelayer cat'!$B:$B,'Allow&amp;Disa Exp by Truelayer cat'!$C:$C)</f>
        <v>Review</v>
      </c>
      <c r="E626" s="116" t="str">
        <f>_xlfn.XLOOKUP(C626,'Allow&amp;Disa Exp by Truelayer cat'!$B:$B,'Allow&amp;Disa Exp by Truelayer cat'!$D:$D)</f>
        <v>"We see you've bought some groceries! Was this grocery haul fuel for your business….or just dinner?"</v>
      </c>
      <c r="F626" t="str">
        <f>_xlfn.XLOOKUP(C626,'Allow&amp;Disa Exp by Truelayer cat'!$B:$B,'Allow&amp;Disa Exp by Truelayer cat'!$E:$E)</f>
        <v xml:space="preserve"> If not for trade, then disallow and add back to income. - Prompt user to add receipt for VAT or just evidence</v>
      </c>
    </row>
    <row r="627" spans="1:6" ht="60" x14ac:dyDescent="0.25">
      <c r="A627" t="s">
        <v>1560</v>
      </c>
      <c r="B627" t="s">
        <v>1576</v>
      </c>
      <c r="C627" t="s">
        <v>423</v>
      </c>
      <c r="D627" t="str">
        <f>_xlfn.XLOOKUP(C627,'Allow&amp;Disa Exp by Truelayer cat'!$B:$B,'Allow&amp;Disa Exp by Truelayer cat'!$C:$C)</f>
        <v>Review</v>
      </c>
      <c r="E627" s="116" t="str">
        <f>_xlfn.XLOOKUP(C627,'Allow&amp;Disa Exp by Truelayer cat'!$B:$B,'Allow&amp;Disa Exp by Truelayer cat'!$D:$D)</f>
        <v>"We see you've bought some groceries! Was this grocery haul fuel for your business….or just dinner?"</v>
      </c>
      <c r="F627" t="str">
        <f>_xlfn.XLOOKUP(C627,'Allow&amp;Disa Exp by Truelayer cat'!$B:$B,'Allow&amp;Disa Exp by Truelayer cat'!$E:$E)</f>
        <v xml:space="preserve"> If not for trade, then disallow and add back to income. - Prompt user to add receipt for VAT or just evidence</v>
      </c>
    </row>
    <row r="628" spans="1:6" ht="60" x14ac:dyDescent="0.25">
      <c r="A628" t="s">
        <v>1560</v>
      </c>
      <c r="B628" t="s">
        <v>1577</v>
      </c>
      <c r="C628" t="s">
        <v>423</v>
      </c>
      <c r="D628" t="str">
        <f>_xlfn.XLOOKUP(C628,'Allow&amp;Disa Exp by Truelayer cat'!$B:$B,'Allow&amp;Disa Exp by Truelayer cat'!$C:$C)</f>
        <v>Review</v>
      </c>
      <c r="E628" s="116" t="str">
        <f>_xlfn.XLOOKUP(C628,'Allow&amp;Disa Exp by Truelayer cat'!$B:$B,'Allow&amp;Disa Exp by Truelayer cat'!$D:$D)</f>
        <v>"We see you've bought some groceries! Was this grocery haul fuel for your business….or just dinner?"</v>
      </c>
      <c r="F628" t="str">
        <f>_xlfn.XLOOKUP(C628,'Allow&amp;Disa Exp by Truelayer cat'!$B:$B,'Allow&amp;Disa Exp by Truelayer cat'!$E:$E)</f>
        <v xml:space="preserve"> If not for trade, then disallow and add back to income. - Prompt user to add receipt for VAT or just evidence</v>
      </c>
    </row>
    <row r="629" spans="1:6" ht="60" x14ac:dyDescent="0.25">
      <c r="A629" t="s">
        <v>1560</v>
      </c>
      <c r="B629" t="s">
        <v>1578</v>
      </c>
      <c r="C629" t="s">
        <v>423</v>
      </c>
      <c r="D629" t="str">
        <f>_xlfn.XLOOKUP(C629,'Allow&amp;Disa Exp by Truelayer cat'!$B:$B,'Allow&amp;Disa Exp by Truelayer cat'!$C:$C)</f>
        <v>Review</v>
      </c>
      <c r="E629" s="116" t="str">
        <f>_xlfn.XLOOKUP(C629,'Allow&amp;Disa Exp by Truelayer cat'!$B:$B,'Allow&amp;Disa Exp by Truelayer cat'!$D:$D)</f>
        <v>"We see you've bought some groceries! Was this grocery haul fuel for your business….or just dinner?"</v>
      </c>
      <c r="F629" t="str">
        <f>_xlfn.XLOOKUP(C629,'Allow&amp;Disa Exp by Truelayer cat'!$B:$B,'Allow&amp;Disa Exp by Truelayer cat'!$E:$E)</f>
        <v xml:space="preserve"> If not for trade, then disallow and add back to income. - Prompt user to add receipt for VAT or just evidence</v>
      </c>
    </row>
    <row r="630" spans="1:6" ht="60" x14ac:dyDescent="0.25">
      <c r="A630" t="s">
        <v>1560</v>
      </c>
      <c r="B630" t="s">
        <v>1579</v>
      </c>
      <c r="C630" t="s">
        <v>423</v>
      </c>
      <c r="D630" t="str">
        <f>_xlfn.XLOOKUP(C630,'Allow&amp;Disa Exp by Truelayer cat'!$B:$B,'Allow&amp;Disa Exp by Truelayer cat'!$C:$C)</f>
        <v>Review</v>
      </c>
      <c r="E630" s="116" t="str">
        <f>_xlfn.XLOOKUP(C630,'Allow&amp;Disa Exp by Truelayer cat'!$B:$B,'Allow&amp;Disa Exp by Truelayer cat'!$D:$D)</f>
        <v>"We see you've bought some groceries! Was this grocery haul fuel for your business….or just dinner?"</v>
      </c>
      <c r="F630" t="str">
        <f>_xlfn.XLOOKUP(C630,'Allow&amp;Disa Exp by Truelayer cat'!$B:$B,'Allow&amp;Disa Exp by Truelayer cat'!$E:$E)</f>
        <v xml:space="preserve"> If not for trade, then disallow and add back to income. - Prompt user to add receipt for VAT or just evidence</v>
      </c>
    </row>
    <row r="631" spans="1:6" ht="30" x14ac:dyDescent="0.25">
      <c r="A631" t="s">
        <v>1580</v>
      </c>
      <c r="B631" t="s">
        <v>1581</v>
      </c>
      <c r="C631" t="s">
        <v>425</v>
      </c>
      <c r="D631" t="str">
        <f>_xlfn.XLOOKUP(C631,'Allow&amp;Disa Exp by Truelayer cat'!$B:$B,'Allow&amp;Disa Exp by Truelayer cat'!$C:$C)</f>
        <v>Review</v>
      </c>
      <c r="E631" s="116" t="str">
        <f>_xlfn.XLOOKUP(C631,'Allow&amp;Disa Exp by Truelayer cat'!$B:$B,'Allow&amp;Disa Exp by Truelayer cat'!$D:$D)</f>
        <v>"Was this purchase for trade purposes?"</v>
      </c>
      <c r="F631" t="str">
        <f>_xlfn.XLOOKUP(C631,'Allow&amp;Disa Exp by Truelayer cat'!$B:$B,'Allow&amp;Disa Exp by Truelayer cat'!$E:$E)</f>
        <v xml:space="preserve"> If not for trade, then disallow and add back to income. - Prompt user to add receipt for VAT or just evidence</v>
      </c>
    </row>
    <row r="632" spans="1:6" ht="30" x14ac:dyDescent="0.25">
      <c r="A632" t="s">
        <v>1580</v>
      </c>
      <c r="B632" t="s">
        <v>1582</v>
      </c>
      <c r="C632" t="s">
        <v>425</v>
      </c>
      <c r="D632" t="str">
        <f>_xlfn.XLOOKUP(C632,'Allow&amp;Disa Exp by Truelayer cat'!$B:$B,'Allow&amp;Disa Exp by Truelayer cat'!$C:$C)</f>
        <v>Review</v>
      </c>
      <c r="E632" s="116" t="str">
        <f>_xlfn.XLOOKUP(C632,'Allow&amp;Disa Exp by Truelayer cat'!$B:$B,'Allow&amp;Disa Exp by Truelayer cat'!$D:$D)</f>
        <v>"Was this purchase for trade purposes?"</v>
      </c>
      <c r="F632" t="str">
        <f>_xlfn.XLOOKUP(C632,'Allow&amp;Disa Exp by Truelayer cat'!$B:$B,'Allow&amp;Disa Exp by Truelayer cat'!$E:$E)</f>
        <v xml:space="preserve"> If not for trade, then disallow and add back to income. - Prompt user to add receipt for VAT or just evidence</v>
      </c>
    </row>
    <row r="633" spans="1:6" ht="30" x14ac:dyDescent="0.25">
      <c r="A633" t="s">
        <v>1580</v>
      </c>
      <c r="B633" t="s">
        <v>1583</v>
      </c>
      <c r="C633" t="s">
        <v>425</v>
      </c>
      <c r="D633" t="str">
        <f>_xlfn.XLOOKUP(C633,'Allow&amp;Disa Exp by Truelayer cat'!$B:$B,'Allow&amp;Disa Exp by Truelayer cat'!$C:$C)</f>
        <v>Review</v>
      </c>
      <c r="E633" s="116" t="str">
        <f>_xlfn.XLOOKUP(C633,'Allow&amp;Disa Exp by Truelayer cat'!$B:$B,'Allow&amp;Disa Exp by Truelayer cat'!$D:$D)</f>
        <v>"Was this purchase for trade purposes?"</v>
      </c>
      <c r="F633" t="str">
        <f>_xlfn.XLOOKUP(C633,'Allow&amp;Disa Exp by Truelayer cat'!$B:$B,'Allow&amp;Disa Exp by Truelayer cat'!$E:$E)</f>
        <v xml:space="preserve"> If not for trade, then disallow and add back to income. - Prompt user to add receipt for VAT or just evidence</v>
      </c>
    </row>
    <row r="634" spans="1:6" ht="30" x14ac:dyDescent="0.25">
      <c r="A634" t="s">
        <v>1580</v>
      </c>
      <c r="B634" t="s">
        <v>1584</v>
      </c>
      <c r="C634" t="s">
        <v>425</v>
      </c>
      <c r="D634" t="str">
        <f>_xlfn.XLOOKUP(C634,'Allow&amp;Disa Exp by Truelayer cat'!$B:$B,'Allow&amp;Disa Exp by Truelayer cat'!$C:$C)</f>
        <v>Review</v>
      </c>
      <c r="E634" s="116" t="str">
        <f>_xlfn.XLOOKUP(C634,'Allow&amp;Disa Exp by Truelayer cat'!$B:$B,'Allow&amp;Disa Exp by Truelayer cat'!$D:$D)</f>
        <v>"Was this purchase for trade purposes?"</v>
      </c>
      <c r="F634" t="str">
        <f>_xlfn.XLOOKUP(C634,'Allow&amp;Disa Exp by Truelayer cat'!$B:$B,'Allow&amp;Disa Exp by Truelayer cat'!$E:$E)</f>
        <v xml:space="preserve"> If not for trade, then disallow and add back to income. - Prompt user to add receipt for VAT or just evidence</v>
      </c>
    </row>
    <row r="635" spans="1:6" ht="30" x14ac:dyDescent="0.25">
      <c r="A635" t="s">
        <v>1580</v>
      </c>
      <c r="B635" t="s">
        <v>1585</v>
      </c>
      <c r="C635" t="s">
        <v>425</v>
      </c>
      <c r="D635" t="str">
        <f>_xlfn.XLOOKUP(C635,'Allow&amp;Disa Exp by Truelayer cat'!$B:$B,'Allow&amp;Disa Exp by Truelayer cat'!$C:$C)</f>
        <v>Review</v>
      </c>
      <c r="E635" s="116" t="str">
        <f>_xlfn.XLOOKUP(C635,'Allow&amp;Disa Exp by Truelayer cat'!$B:$B,'Allow&amp;Disa Exp by Truelayer cat'!$D:$D)</f>
        <v>"Was this purchase for trade purposes?"</v>
      </c>
      <c r="F635" t="str">
        <f>_xlfn.XLOOKUP(C635,'Allow&amp;Disa Exp by Truelayer cat'!$B:$B,'Allow&amp;Disa Exp by Truelayer cat'!$E:$E)</f>
        <v xml:space="preserve"> If not for trade, then disallow and add back to income. - Prompt user to add receipt for VAT or just evidence</v>
      </c>
    </row>
    <row r="636" spans="1:6" ht="30" x14ac:dyDescent="0.25">
      <c r="A636" t="s">
        <v>1580</v>
      </c>
      <c r="B636" t="s">
        <v>1586</v>
      </c>
      <c r="C636" t="s">
        <v>425</v>
      </c>
      <c r="D636" t="str">
        <f>_xlfn.XLOOKUP(C636,'Allow&amp;Disa Exp by Truelayer cat'!$B:$B,'Allow&amp;Disa Exp by Truelayer cat'!$C:$C)</f>
        <v>Review</v>
      </c>
      <c r="E636" s="116" t="str">
        <f>_xlfn.XLOOKUP(C636,'Allow&amp;Disa Exp by Truelayer cat'!$B:$B,'Allow&amp;Disa Exp by Truelayer cat'!$D:$D)</f>
        <v>"Was this purchase for trade purposes?"</v>
      </c>
      <c r="F636" t="str">
        <f>_xlfn.XLOOKUP(C636,'Allow&amp;Disa Exp by Truelayer cat'!$B:$B,'Allow&amp;Disa Exp by Truelayer cat'!$E:$E)</f>
        <v xml:space="preserve"> If not for trade, then disallow and add back to income. - Prompt user to add receipt for VAT or just evidence</v>
      </c>
    </row>
    <row r="637" spans="1:6" ht="30" x14ac:dyDescent="0.25">
      <c r="A637" t="s">
        <v>1580</v>
      </c>
      <c r="B637" t="s">
        <v>1587</v>
      </c>
      <c r="C637" t="s">
        <v>425</v>
      </c>
      <c r="D637" t="str">
        <f>_xlfn.XLOOKUP(C637,'Allow&amp;Disa Exp by Truelayer cat'!$B:$B,'Allow&amp;Disa Exp by Truelayer cat'!$C:$C)</f>
        <v>Review</v>
      </c>
      <c r="E637" s="116" t="str">
        <f>_xlfn.XLOOKUP(C637,'Allow&amp;Disa Exp by Truelayer cat'!$B:$B,'Allow&amp;Disa Exp by Truelayer cat'!$D:$D)</f>
        <v>"Was this purchase for trade purposes?"</v>
      </c>
      <c r="F637" t="str">
        <f>_xlfn.XLOOKUP(C637,'Allow&amp;Disa Exp by Truelayer cat'!$B:$B,'Allow&amp;Disa Exp by Truelayer cat'!$E:$E)</f>
        <v xml:space="preserve"> If not for trade, then disallow and add back to income. - Prompt user to add receipt for VAT or just evidence</v>
      </c>
    </row>
    <row r="638" spans="1:6" ht="30" x14ac:dyDescent="0.25">
      <c r="A638" t="s">
        <v>1580</v>
      </c>
      <c r="B638" t="s">
        <v>1588</v>
      </c>
      <c r="C638" t="s">
        <v>425</v>
      </c>
      <c r="D638" t="str">
        <f>_xlfn.XLOOKUP(C638,'Allow&amp;Disa Exp by Truelayer cat'!$B:$B,'Allow&amp;Disa Exp by Truelayer cat'!$C:$C)</f>
        <v>Review</v>
      </c>
      <c r="E638" s="116" t="str">
        <f>_xlfn.XLOOKUP(C638,'Allow&amp;Disa Exp by Truelayer cat'!$B:$B,'Allow&amp;Disa Exp by Truelayer cat'!$D:$D)</f>
        <v>"Was this purchase for trade purposes?"</v>
      </c>
      <c r="F638" t="str">
        <f>_xlfn.XLOOKUP(C638,'Allow&amp;Disa Exp by Truelayer cat'!$B:$B,'Allow&amp;Disa Exp by Truelayer cat'!$E:$E)</f>
        <v xml:space="preserve"> If not for trade, then disallow and add back to income. - Prompt user to add receipt for VAT or just evidence</v>
      </c>
    </row>
    <row r="639" spans="1:6" ht="30" x14ac:dyDescent="0.25">
      <c r="A639" t="s">
        <v>1580</v>
      </c>
      <c r="B639" t="s">
        <v>1589</v>
      </c>
      <c r="C639" t="s">
        <v>425</v>
      </c>
      <c r="D639" t="str">
        <f>_xlfn.XLOOKUP(C639,'Allow&amp;Disa Exp by Truelayer cat'!$B:$B,'Allow&amp;Disa Exp by Truelayer cat'!$C:$C)</f>
        <v>Review</v>
      </c>
      <c r="E639" s="116" t="str">
        <f>_xlfn.XLOOKUP(C639,'Allow&amp;Disa Exp by Truelayer cat'!$B:$B,'Allow&amp;Disa Exp by Truelayer cat'!$D:$D)</f>
        <v>"Was this purchase for trade purposes?"</v>
      </c>
      <c r="F639" t="str">
        <f>_xlfn.XLOOKUP(C639,'Allow&amp;Disa Exp by Truelayer cat'!$B:$B,'Allow&amp;Disa Exp by Truelayer cat'!$E:$E)</f>
        <v xml:space="preserve"> If not for trade, then disallow and add back to income. - Prompt user to add receipt for VAT or just evidence</v>
      </c>
    </row>
    <row r="640" spans="1:6" ht="30" x14ac:dyDescent="0.25">
      <c r="A640" t="s">
        <v>1580</v>
      </c>
      <c r="B640" t="s">
        <v>1590</v>
      </c>
      <c r="C640" t="s">
        <v>425</v>
      </c>
      <c r="D640" t="str">
        <f>_xlfn.XLOOKUP(C640,'Allow&amp;Disa Exp by Truelayer cat'!$B:$B,'Allow&amp;Disa Exp by Truelayer cat'!$C:$C)</f>
        <v>Review</v>
      </c>
      <c r="E640" s="116" t="str">
        <f>_xlfn.XLOOKUP(C640,'Allow&amp;Disa Exp by Truelayer cat'!$B:$B,'Allow&amp;Disa Exp by Truelayer cat'!$D:$D)</f>
        <v>"Was this purchase for trade purposes?"</v>
      </c>
      <c r="F640" t="str">
        <f>_xlfn.XLOOKUP(C640,'Allow&amp;Disa Exp by Truelayer cat'!$B:$B,'Allow&amp;Disa Exp by Truelayer cat'!$E:$E)</f>
        <v xml:space="preserve"> If not for trade, then disallow and add back to income. - Prompt user to add receipt for VAT or just evidence</v>
      </c>
    </row>
    <row r="641" spans="1:6" ht="30" x14ac:dyDescent="0.25">
      <c r="A641" t="s">
        <v>1580</v>
      </c>
      <c r="B641" t="s">
        <v>1591</v>
      </c>
      <c r="C641" t="s">
        <v>425</v>
      </c>
      <c r="D641" t="str">
        <f>_xlfn.XLOOKUP(C641,'Allow&amp;Disa Exp by Truelayer cat'!$B:$B,'Allow&amp;Disa Exp by Truelayer cat'!$C:$C)</f>
        <v>Review</v>
      </c>
      <c r="E641" s="116" t="str">
        <f>_xlfn.XLOOKUP(C641,'Allow&amp;Disa Exp by Truelayer cat'!$B:$B,'Allow&amp;Disa Exp by Truelayer cat'!$D:$D)</f>
        <v>"Was this purchase for trade purposes?"</v>
      </c>
      <c r="F641" t="str">
        <f>_xlfn.XLOOKUP(C641,'Allow&amp;Disa Exp by Truelayer cat'!$B:$B,'Allow&amp;Disa Exp by Truelayer cat'!$E:$E)</f>
        <v xml:space="preserve"> If not for trade, then disallow and add back to income. - Prompt user to add receipt for VAT or just evidence</v>
      </c>
    </row>
    <row r="642" spans="1:6" ht="30" x14ac:dyDescent="0.25">
      <c r="A642" t="s">
        <v>1580</v>
      </c>
      <c r="B642" t="s">
        <v>1592</v>
      </c>
      <c r="C642" t="s">
        <v>425</v>
      </c>
      <c r="D642" t="str">
        <f>_xlfn.XLOOKUP(C642,'Allow&amp;Disa Exp by Truelayer cat'!$B:$B,'Allow&amp;Disa Exp by Truelayer cat'!$C:$C)</f>
        <v>Review</v>
      </c>
      <c r="E642" s="116" t="str">
        <f>_xlfn.XLOOKUP(C642,'Allow&amp;Disa Exp by Truelayer cat'!$B:$B,'Allow&amp;Disa Exp by Truelayer cat'!$D:$D)</f>
        <v>"Was this purchase for trade purposes?"</v>
      </c>
      <c r="F642" t="str">
        <f>_xlfn.XLOOKUP(C642,'Allow&amp;Disa Exp by Truelayer cat'!$B:$B,'Allow&amp;Disa Exp by Truelayer cat'!$E:$E)</f>
        <v xml:space="preserve"> If not for trade, then disallow and add back to income. - Prompt user to add receipt for VAT or just evidence</v>
      </c>
    </row>
    <row r="643" spans="1:6" ht="30" x14ac:dyDescent="0.25">
      <c r="A643" t="s">
        <v>1580</v>
      </c>
      <c r="B643" t="s">
        <v>1593</v>
      </c>
      <c r="C643" t="s">
        <v>425</v>
      </c>
      <c r="D643" t="str">
        <f>_xlfn.XLOOKUP(C643,'Allow&amp;Disa Exp by Truelayer cat'!$B:$B,'Allow&amp;Disa Exp by Truelayer cat'!$C:$C)</f>
        <v>Review</v>
      </c>
      <c r="E643" s="116" t="str">
        <f>_xlfn.XLOOKUP(C643,'Allow&amp;Disa Exp by Truelayer cat'!$B:$B,'Allow&amp;Disa Exp by Truelayer cat'!$D:$D)</f>
        <v>"Was this purchase for trade purposes?"</v>
      </c>
      <c r="F643" t="str">
        <f>_xlfn.XLOOKUP(C643,'Allow&amp;Disa Exp by Truelayer cat'!$B:$B,'Allow&amp;Disa Exp by Truelayer cat'!$E:$E)</f>
        <v xml:space="preserve"> If not for trade, then disallow and add back to income. - Prompt user to add receipt for VAT or just evidence</v>
      </c>
    </row>
    <row r="644" spans="1:6" ht="30" x14ac:dyDescent="0.25">
      <c r="A644" t="s">
        <v>1580</v>
      </c>
      <c r="B644" t="s">
        <v>1594</v>
      </c>
      <c r="C644" t="s">
        <v>425</v>
      </c>
      <c r="D644" t="str">
        <f>_xlfn.XLOOKUP(C644,'Allow&amp;Disa Exp by Truelayer cat'!$B:$B,'Allow&amp;Disa Exp by Truelayer cat'!$C:$C)</f>
        <v>Review</v>
      </c>
      <c r="E644" s="116" t="str">
        <f>_xlfn.XLOOKUP(C644,'Allow&amp;Disa Exp by Truelayer cat'!$B:$B,'Allow&amp;Disa Exp by Truelayer cat'!$D:$D)</f>
        <v>"Was this purchase for trade purposes?"</v>
      </c>
      <c r="F644" t="str">
        <f>_xlfn.XLOOKUP(C644,'Allow&amp;Disa Exp by Truelayer cat'!$B:$B,'Allow&amp;Disa Exp by Truelayer cat'!$E:$E)</f>
        <v xml:space="preserve"> If not for trade, then disallow and add back to income. - Prompt user to add receipt for VAT or just evidence</v>
      </c>
    </row>
    <row r="645" spans="1:6" ht="30" x14ac:dyDescent="0.25">
      <c r="A645" t="s">
        <v>1580</v>
      </c>
      <c r="B645" t="s">
        <v>1595</v>
      </c>
      <c r="C645" t="s">
        <v>425</v>
      </c>
      <c r="D645" t="str">
        <f>_xlfn.XLOOKUP(C645,'Allow&amp;Disa Exp by Truelayer cat'!$B:$B,'Allow&amp;Disa Exp by Truelayer cat'!$C:$C)</f>
        <v>Review</v>
      </c>
      <c r="E645" s="116" t="str">
        <f>_xlfn.XLOOKUP(C645,'Allow&amp;Disa Exp by Truelayer cat'!$B:$B,'Allow&amp;Disa Exp by Truelayer cat'!$D:$D)</f>
        <v>"Was this purchase for trade purposes?"</v>
      </c>
      <c r="F645" t="str">
        <f>_xlfn.XLOOKUP(C645,'Allow&amp;Disa Exp by Truelayer cat'!$B:$B,'Allow&amp;Disa Exp by Truelayer cat'!$E:$E)</f>
        <v xml:space="preserve"> If not for trade, then disallow and add back to income. - Prompt user to add receipt for VAT or just evidence</v>
      </c>
    </row>
    <row r="646" spans="1:6" ht="30" x14ac:dyDescent="0.25">
      <c r="A646" t="s">
        <v>1580</v>
      </c>
      <c r="B646" t="s">
        <v>1596</v>
      </c>
      <c r="C646" t="s">
        <v>425</v>
      </c>
      <c r="D646" t="str">
        <f>_xlfn.XLOOKUP(C646,'Allow&amp;Disa Exp by Truelayer cat'!$B:$B,'Allow&amp;Disa Exp by Truelayer cat'!$C:$C)</f>
        <v>Review</v>
      </c>
      <c r="E646" s="116" t="str">
        <f>_xlfn.XLOOKUP(C646,'Allow&amp;Disa Exp by Truelayer cat'!$B:$B,'Allow&amp;Disa Exp by Truelayer cat'!$D:$D)</f>
        <v>"Was this purchase for trade purposes?"</v>
      </c>
      <c r="F646" t="str">
        <f>_xlfn.XLOOKUP(C646,'Allow&amp;Disa Exp by Truelayer cat'!$B:$B,'Allow&amp;Disa Exp by Truelayer cat'!$E:$E)</f>
        <v xml:space="preserve"> If not for trade, then disallow and add back to income. - Prompt user to add receipt for VAT or just evidence</v>
      </c>
    </row>
    <row r="647" spans="1:6" ht="30" x14ac:dyDescent="0.25">
      <c r="A647" t="s">
        <v>1580</v>
      </c>
      <c r="B647" t="s">
        <v>1597</v>
      </c>
      <c r="C647" t="s">
        <v>425</v>
      </c>
      <c r="D647" t="str">
        <f>_xlfn.XLOOKUP(C647,'Allow&amp;Disa Exp by Truelayer cat'!$B:$B,'Allow&amp;Disa Exp by Truelayer cat'!$C:$C)</f>
        <v>Review</v>
      </c>
      <c r="E647" s="116" t="str">
        <f>_xlfn.XLOOKUP(C647,'Allow&amp;Disa Exp by Truelayer cat'!$B:$B,'Allow&amp;Disa Exp by Truelayer cat'!$D:$D)</f>
        <v>"Was this purchase for trade purposes?"</v>
      </c>
      <c r="F647" t="str">
        <f>_xlfn.XLOOKUP(C647,'Allow&amp;Disa Exp by Truelayer cat'!$B:$B,'Allow&amp;Disa Exp by Truelayer cat'!$E:$E)</f>
        <v xml:space="preserve"> If not for trade, then disallow and add back to income. - Prompt user to add receipt for VAT or just evidence</v>
      </c>
    </row>
    <row r="648" spans="1:6" ht="30" x14ac:dyDescent="0.25">
      <c r="A648" t="s">
        <v>1580</v>
      </c>
      <c r="B648" t="s">
        <v>1598</v>
      </c>
      <c r="C648" t="s">
        <v>425</v>
      </c>
      <c r="D648" t="str">
        <f>_xlfn.XLOOKUP(C648,'Allow&amp;Disa Exp by Truelayer cat'!$B:$B,'Allow&amp;Disa Exp by Truelayer cat'!$C:$C)</f>
        <v>Review</v>
      </c>
      <c r="E648" s="116" t="str">
        <f>_xlfn.XLOOKUP(C648,'Allow&amp;Disa Exp by Truelayer cat'!$B:$B,'Allow&amp;Disa Exp by Truelayer cat'!$D:$D)</f>
        <v>"Was this purchase for trade purposes?"</v>
      </c>
      <c r="F648" t="str">
        <f>_xlfn.XLOOKUP(C648,'Allow&amp;Disa Exp by Truelayer cat'!$B:$B,'Allow&amp;Disa Exp by Truelayer cat'!$E:$E)</f>
        <v xml:space="preserve"> If not for trade, then disallow and add back to income. - Prompt user to add receipt for VAT or just evidence</v>
      </c>
    </row>
    <row r="649" spans="1:6" ht="30" x14ac:dyDescent="0.25">
      <c r="A649" t="s">
        <v>1580</v>
      </c>
      <c r="B649" t="s">
        <v>1599</v>
      </c>
      <c r="C649" t="s">
        <v>425</v>
      </c>
      <c r="D649" t="str">
        <f>_xlfn.XLOOKUP(C649,'Allow&amp;Disa Exp by Truelayer cat'!$B:$B,'Allow&amp;Disa Exp by Truelayer cat'!$C:$C)</f>
        <v>Review</v>
      </c>
      <c r="E649" s="116" t="str">
        <f>_xlfn.XLOOKUP(C649,'Allow&amp;Disa Exp by Truelayer cat'!$B:$B,'Allow&amp;Disa Exp by Truelayer cat'!$D:$D)</f>
        <v>"Was this purchase for trade purposes?"</v>
      </c>
      <c r="F649" t="str">
        <f>_xlfn.XLOOKUP(C649,'Allow&amp;Disa Exp by Truelayer cat'!$B:$B,'Allow&amp;Disa Exp by Truelayer cat'!$E:$E)</f>
        <v xml:space="preserve"> If not for trade, then disallow and add back to income. - Prompt user to add receipt for VAT or just evidence</v>
      </c>
    </row>
    <row r="650" spans="1:6" ht="30" x14ac:dyDescent="0.25">
      <c r="A650" t="s">
        <v>1580</v>
      </c>
      <c r="B650" t="s">
        <v>1600</v>
      </c>
      <c r="C650" t="s">
        <v>425</v>
      </c>
      <c r="D650" t="str">
        <f>_xlfn.XLOOKUP(C650,'Allow&amp;Disa Exp by Truelayer cat'!$B:$B,'Allow&amp;Disa Exp by Truelayer cat'!$C:$C)</f>
        <v>Review</v>
      </c>
      <c r="E650" s="116" t="str">
        <f>_xlfn.XLOOKUP(C650,'Allow&amp;Disa Exp by Truelayer cat'!$B:$B,'Allow&amp;Disa Exp by Truelayer cat'!$D:$D)</f>
        <v>"Was this purchase for trade purposes?"</v>
      </c>
      <c r="F650" t="str">
        <f>_xlfn.XLOOKUP(C650,'Allow&amp;Disa Exp by Truelayer cat'!$B:$B,'Allow&amp;Disa Exp by Truelayer cat'!$E:$E)</f>
        <v xml:space="preserve"> If not for trade, then disallow and add back to income. - Prompt user to add receipt for VAT or just evidence</v>
      </c>
    </row>
    <row r="651" spans="1:6" x14ac:dyDescent="0.25">
      <c r="A651" t="s">
        <v>1601</v>
      </c>
      <c r="B651" t="s">
        <v>1602</v>
      </c>
      <c r="C651" t="s">
        <v>464</v>
      </c>
      <c r="D651" t="str">
        <f>_xlfn.XLOOKUP(C651,'Allow&amp;Disa Exp by Truelayer cat'!$B:$B,'Allow&amp;Disa Exp by Truelayer cat'!$C:$C)</f>
        <v>Allowable</v>
      </c>
      <c r="E651" s="116">
        <f>_xlfn.XLOOKUP(C651,'Allow&amp;Disa Exp by Truelayer cat'!$B:$B,'Allow&amp;Disa Exp by Truelayer cat'!$D:$D)</f>
        <v>0</v>
      </c>
      <c r="F651" t="str">
        <f>_xlfn.XLOOKUP(C651,'Allow&amp;Disa Exp by Truelayer cat'!$B:$B,'Allow&amp;Disa Exp by Truelayer cat'!$E:$E)</f>
        <v>Deduct from expenses</v>
      </c>
    </row>
    <row r="652" spans="1:6" x14ac:dyDescent="0.25">
      <c r="A652" t="s">
        <v>1601</v>
      </c>
      <c r="B652" t="s">
        <v>1603</v>
      </c>
      <c r="C652" t="s">
        <v>464</v>
      </c>
      <c r="D652" t="str">
        <f>_xlfn.XLOOKUP(C652,'Allow&amp;Disa Exp by Truelayer cat'!$B:$B,'Allow&amp;Disa Exp by Truelayer cat'!$C:$C)</f>
        <v>Allowable</v>
      </c>
      <c r="E652" s="116">
        <f>_xlfn.XLOOKUP(C652,'Allow&amp;Disa Exp by Truelayer cat'!$B:$B,'Allow&amp;Disa Exp by Truelayer cat'!$D:$D)</f>
        <v>0</v>
      </c>
      <c r="F652" t="str">
        <f>_xlfn.XLOOKUP(C652,'Allow&amp;Disa Exp by Truelayer cat'!$B:$B,'Allow&amp;Disa Exp by Truelayer cat'!$E:$E)</f>
        <v>Deduct from expenses</v>
      </c>
    </row>
    <row r="653" spans="1:6" x14ac:dyDescent="0.25">
      <c r="A653" t="s">
        <v>1601</v>
      </c>
      <c r="B653" t="s">
        <v>1604</v>
      </c>
      <c r="C653" t="s">
        <v>461</v>
      </c>
      <c r="D653" t="str">
        <f>_xlfn.XLOOKUP(C653,'Allow&amp;Disa Exp by Truelayer cat'!$B:$B,'Allow&amp;Disa Exp by Truelayer cat'!$C:$C)</f>
        <v>Allowable</v>
      </c>
      <c r="E653" s="116">
        <f>_xlfn.XLOOKUP(C653,'Allow&amp;Disa Exp by Truelayer cat'!$B:$B,'Allow&amp;Disa Exp by Truelayer cat'!$D:$D)</f>
        <v>0</v>
      </c>
      <c r="F653" t="str">
        <f>_xlfn.XLOOKUP(C653,'Allow&amp;Disa Exp by Truelayer cat'!$B:$B,'Allow&amp;Disa Exp by Truelayer cat'!$E:$E)</f>
        <v>Deduct from expenses</v>
      </c>
    </row>
    <row r="654" spans="1:6" x14ac:dyDescent="0.25">
      <c r="A654" t="s">
        <v>1601</v>
      </c>
      <c r="B654" t="s">
        <v>1605</v>
      </c>
      <c r="C654" t="s">
        <v>464</v>
      </c>
      <c r="D654" t="str">
        <f>_xlfn.XLOOKUP(C654,'Allow&amp;Disa Exp by Truelayer cat'!$B:$B,'Allow&amp;Disa Exp by Truelayer cat'!$C:$C)</f>
        <v>Allowable</v>
      </c>
      <c r="E654" s="116">
        <f>_xlfn.XLOOKUP(C654,'Allow&amp;Disa Exp by Truelayer cat'!$B:$B,'Allow&amp;Disa Exp by Truelayer cat'!$D:$D)</f>
        <v>0</v>
      </c>
      <c r="F654" t="str">
        <f>_xlfn.XLOOKUP(C654,'Allow&amp;Disa Exp by Truelayer cat'!$B:$B,'Allow&amp;Disa Exp by Truelayer cat'!$E:$E)</f>
        <v>Deduct from expenses</v>
      </c>
    </row>
    <row r="655" spans="1:6" x14ac:dyDescent="0.25">
      <c r="A655" t="s">
        <v>1601</v>
      </c>
      <c r="B655" t="s">
        <v>1606</v>
      </c>
      <c r="C655" t="s">
        <v>464</v>
      </c>
      <c r="D655" t="str">
        <f>_xlfn.XLOOKUP(C655,'Allow&amp;Disa Exp by Truelayer cat'!$B:$B,'Allow&amp;Disa Exp by Truelayer cat'!$C:$C)</f>
        <v>Allowable</v>
      </c>
      <c r="E655" s="116">
        <f>_xlfn.XLOOKUP(C655,'Allow&amp;Disa Exp by Truelayer cat'!$B:$B,'Allow&amp;Disa Exp by Truelayer cat'!$D:$D)</f>
        <v>0</v>
      </c>
      <c r="F655" t="str">
        <f>_xlfn.XLOOKUP(C655,'Allow&amp;Disa Exp by Truelayer cat'!$B:$B,'Allow&amp;Disa Exp by Truelayer cat'!$E:$E)</f>
        <v>Deduct from expenses</v>
      </c>
    </row>
    <row r="656" spans="1:6" x14ac:dyDescent="0.25">
      <c r="A656" t="s">
        <v>1601</v>
      </c>
      <c r="B656" t="s">
        <v>1607</v>
      </c>
      <c r="C656" t="s">
        <v>464</v>
      </c>
      <c r="D656" t="str">
        <f>_xlfn.XLOOKUP(C656,'Allow&amp;Disa Exp by Truelayer cat'!$B:$B,'Allow&amp;Disa Exp by Truelayer cat'!$C:$C)</f>
        <v>Allowable</v>
      </c>
      <c r="E656" s="116">
        <f>_xlfn.XLOOKUP(C656,'Allow&amp;Disa Exp by Truelayer cat'!$B:$B,'Allow&amp;Disa Exp by Truelayer cat'!$D:$D)</f>
        <v>0</v>
      </c>
      <c r="F656" t="str">
        <f>_xlfn.XLOOKUP(C656,'Allow&amp;Disa Exp by Truelayer cat'!$B:$B,'Allow&amp;Disa Exp by Truelayer cat'!$E:$E)</f>
        <v>Deduct from expenses</v>
      </c>
    </row>
    <row r="657" spans="1:6" x14ac:dyDescent="0.25">
      <c r="A657" t="s">
        <v>1601</v>
      </c>
      <c r="B657" t="s">
        <v>1608</v>
      </c>
      <c r="C657" t="s">
        <v>464</v>
      </c>
      <c r="D657" t="str">
        <f>_xlfn.XLOOKUP(C657,'Allow&amp;Disa Exp by Truelayer cat'!$B:$B,'Allow&amp;Disa Exp by Truelayer cat'!$C:$C)</f>
        <v>Allowable</v>
      </c>
      <c r="E657" s="116">
        <f>_xlfn.XLOOKUP(C657,'Allow&amp;Disa Exp by Truelayer cat'!$B:$B,'Allow&amp;Disa Exp by Truelayer cat'!$D:$D)</f>
        <v>0</v>
      </c>
      <c r="F657" t="str">
        <f>_xlfn.XLOOKUP(C657,'Allow&amp;Disa Exp by Truelayer cat'!$B:$B,'Allow&amp;Disa Exp by Truelayer cat'!$E:$E)</f>
        <v>Deduct from expenses</v>
      </c>
    </row>
    <row r="658" spans="1:6" x14ac:dyDescent="0.25">
      <c r="A658" t="s">
        <v>1601</v>
      </c>
      <c r="B658" t="s">
        <v>1609</v>
      </c>
      <c r="C658" t="s">
        <v>464</v>
      </c>
      <c r="D658" t="str">
        <f>_xlfn.XLOOKUP(C658,'Allow&amp;Disa Exp by Truelayer cat'!$B:$B,'Allow&amp;Disa Exp by Truelayer cat'!$C:$C)</f>
        <v>Allowable</v>
      </c>
      <c r="E658" s="116">
        <f>_xlfn.XLOOKUP(C658,'Allow&amp;Disa Exp by Truelayer cat'!$B:$B,'Allow&amp;Disa Exp by Truelayer cat'!$D:$D)</f>
        <v>0</v>
      </c>
      <c r="F658" t="str">
        <f>_xlfn.XLOOKUP(C658,'Allow&amp;Disa Exp by Truelayer cat'!$B:$B,'Allow&amp;Disa Exp by Truelayer cat'!$E:$E)</f>
        <v>Deduct from expenses</v>
      </c>
    </row>
    <row r="659" spans="1:6" x14ac:dyDescent="0.25">
      <c r="A659" t="s">
        <v>1601</v>
      </c>
      <c r="B659" t="s">
        <v>1610</v>
      </c>
      <c r="C659" t="s">
        <v>464</v>
      </c>
      <c r="D659" t="str">
        <f>_xlfn.XLOOKUP(C659,'Allow&amp;Disa Exp by Truelayer cat'!$B:$B,'Allow&amp;Disa Exp by Truelayer cat'!$C:$C)</f>
        <v>Allowable</v>
      </c>
      <c r="E659" s="116">
        <f>_xlfn.XLOOKUP(C659,'Allow&amp;Disa Exp by Truelayer cat'!$B:$B,'Allow&amp;Disa Exp by Truelayer cat'!$D:$D)</f>
        <v>0</v>
      </c>
      <c r="F659" t="str">
        <f>_xlfn.XLOOKUP(C659,'Allow&amp;Disa Exp by Truelayer cat'!$B:$B,'Allow&amp;Disa Exp by Truelayer cat'!$E:$E)</f>
        <v>Deduct from expenses</v>
      </c>
    </row>
    <row r="660" spans="1:6" x14ac:dyDescent="0.25">
      <c r="A660" t="s">
        <v>1601</v>
      </c>
      <c r="B660" t="s">
        <v>1611</v>
      </c>
      <c r="C660" t="s">
        <v>464</v>
      </c>
      <c r="D660" t="str">
        <f>_xlfn.XLOOKUP(C660,'Allow&amp;Disa Exp by Truelayer cat'!$B:$B,'Allow&amp;Disa Exp by Truelayer cat'!$C:$C)</f>
        <v>Allowable</v>
      </c>
      <c r="E660" s="116">
        <f>_xlfn.XLOOKUP(C660,'Allow&amp;Disa Exp by Truelayer cat'!$B:$B,'Allow&amp;Disa Exp by Truelayer cat'!$D:$D)</f>
        <v>0</v>
      </c>
      <c r="F660" t="str">
        <f>_xlfn.XLOOKUP(C660,'Allow&amp;Disa Exp by Truelayer cat'!$B:$B,'Allow&amp;Disa Exp by Truelayer cat'!$E:$E)</f>
        <v>Deduct from expenses</v>
      </c>
    </row>
    <row r="661" spans="1:6" x14ac:dyDescent="0.25">
      <c r="A661" t="s">
        <v>1601</v>
      </c>
      <c r="B661" t="s">
        <v>1612</v>
      </c>
      <c r="C661" t="s">
        <v>464</v>
      </c>
      <c r="D661" t="str">
        <f>_xlfn.XLOOKUP(C661,'Allow&amp;Disa Exp by Truelayer cat'!$B:$B,'Allow&amp;Disa Exp by Truelayer cat'!$C:$C)</f>
        <v>Allowable</v>
      </c>
      <c r="E661" s="116">
        <f>_xlfn.XLOOKUP(C661,'Allow&amp;Disa Exp by Truelayer cat'!$B:$B,'Allow&amp;Disa Exp by Truelayer cat'!$D:$D)</f>
        <v>0</v>
      </c>
      <c r="F661" t="str">
        <f>_xlfn.XLOOKUP(C661,'Allow&amp;Disa Exp by Truelayer cat'!$B:$B,'Allow&amp;Disa Exp by Truelayer cat'!$E:$E)</f>
        <v>Deduct from expenses</v>
      </c>
    </row>
    <row r="662" spans="1:6" x14ac:dyDescent="0.25">
      <c r="A662" t="s">
        <v>1601</v>
      </c>
      <c r="B662" t="s">
        <v>1613</v>
      </c>
      <c r="C662" t="s">
        <v>464</v>
      </c>
      <c r="D662" t="str">
        <f>_xlfn.XLOOKUP(C662,'Allow&amp;Disa Exp by Truelayer cat'!$B:$B,'Allow&amp;Disa Exp by Truelayer cat'!$C:$C)</f>
        <v>Allowable</v>
      </c>
      <c r="E662" s="116">
        <f>_xlfn.XLOOKUP(C662,'Allow&amp;Disa Exp by Truelayer cat'!$B:$B,'Allow&amp;Disa Exp by Truelayer cat'!$D:$D)</f>
        <v>0</v>
      </c>
      <c r="F662" t="str">
        <f>_xlfn.XLOOKUP(C662,'Allow&amp;Disa Exp by Truelayer cat'!$B:$B,'Allow&amp;Disa Exp by Truelayer cat'!$E:$E)</f>
        <v>Deduct from expenses</v>
      </c>
    </row>
    <row r="663" spans="1:6" ht="30" x14ac:dyDescent="0.25">
      <c r="A663" t="s">
        <v>1601</v>
      </c>
      <c r="B663" t="s">
        <v>1614</v>
      </c>
      <c r="C663" t="s">
        <v>460</v>
      </c>
      <c r="D663" t="str">
        <f>_xlfn.XLOOKUP(C663,'Allow&amp;Disa Exp by Truelayer cat'!$B:$B,'Allow&amp;Disa Exp by Truelayer cat'!$C:$C)</f>
        <v>Review</v>
      </c>
      <c r="E663" s="116" t="str">
        <f>_xlfn.XLOOKUP(C663,'Allow&amp;Disa Exp by Truelayer cat'!$B:$B,'Allow&amp;Disa Exp by Truelayer cat'!$D:$D)</f>
        <v>"Was this purchase for trade purposes?"</v>
      </c>
      <c r="F663" t="str">
        <f>_xlfn.XLOOKUP(C663,'Allow&amp;Disa Exp by Truelayer cat'!$B:$B,'Allow&amp;Disa Exp by Truelayer cat'!$E:$E)</f>
        <v xml:space="preserve"> If not for trade, then disallow and add back to income. - Prompt user to add receipt for VAT or just evidence</v>
      </c>
    </row>
    <row r="664" spans="1:6" x14ac:dyDescent="0.25">
      <c r="A664" t="s">
        <v>1601</v>
      </c>
      <c r="B664" t="s">
        <v>1927</v>
      </c>
      <c r="C664" t="s">
        <v>462</v>
      </c>
      <c r="D664" t="str">
        <f>_xlfn.XLOOKUP(C664,'Allow&amp;Disa Exp by Truelayer cat'!$B:$B,'Allow&amp;Disa Exp by Truelayer cat'!$C:$C)</f>
        <v>Allowable</v>
      </c>
      <c r="E664" s="116">
        <f>_xlfn.XLOOKUP(C664,'Allow&amp;Disa Exp by Truelayer cat'!$B:$B,'Allow&amp;Disa Exp by Truelayer cat'!$D:$D)</f>
        <v>0</v>
      </c>
      <c r="F664" t="str">
        <f>_xlfn.XLOOKUP(C664,'Allow&amp;Disa Exp by Truelayer cat'!$B:$B,'Allow&amp;Disa Exp by Truelayer cat'!$E:$E)</f>
        <v>Deduct from expenses</v>
      </c>
    </row>
    <row r="665" spans="1:6" x14ac:dyDescent="0.25">
      <c r="A665" t="s">
        <v>1601</v>
      </c>
      <c r="B665" t="s">
        <v>1615</v>
      </c>
      <c r="C665" t="s">
        <v>462</v>
      </c>
      <c r="D665" t="str">
        <f>_xlfn.XLOOKUP(C665,'Allow&amp;Disa Exp by Truelayer cat'!$B:$B,'Allow&amp;Disa Exp by Truelayer cat'!$C:$C)</f>
        <v>Allowable</v>
      </c>
      <c r="E665" s="116">
        <f>_xlfn.XLOOKUP(C665,'Allow&amp;Disa Exp by Truelayer cat'!$B:$B,'Allow&amp;Disa Exp by Truelayer cat'!$D:$D)</f>
        <v>0</v>
      </c>
      <c r="F665" t="str">
        <f>_xlfn.XLOOKUP(C665,'Allow&amp;Disa Exp by Truelayer cat'!$B:$B,'Allow&amp;Disa Exp by Truelayer cat'!$E:$E)</f>
        <v>Deduct from expenses</v>
      </c>
    </row>
    <row r="666" spans="1:6" x14ac:dyDescent="0.25">
      <c r="A666" t="s">
        <v>1601</v>
      </c>
      <c r="B666" t="s">
        <v>1616</v>
      </c>
      <c r="C666" t="s">
        <v>464</v>
      </c>
      <c r="D666" t="str">
        <f>_xlfn.XLOOKUP(C666,'Allow&amp;Disa Exp by Truelayer cat'!$B:$B,'Allow&amp;Disa Exp by Truelayer cat'!$C:$C)</f>
        <v>Allowable</v>
      </c>
      <c r="E666" s="116">
        <f>_xlfn.XLOOKUP(C666,'Allow&amp;Disa Exp by Truelayer cat'!$B:$B,'Allow&amp;Disa Exp by Truelayer cat'!$D:$D)</f>
        <v>0</v>
      </c>
      <c r="F666" t="str">
        <f>_xlfn.XLOOKUP(C666,'Allow&amp;Disa Exp by Truelayer cat'!$B:$B,'Allow&amp;Disa Exp by Truelayer cat'!$E:$E)</f>
        <v>Deduct from expenses</v>
      </c>
    </row>
    <row r="667" spans="1:6" x14ac:dyDescent="0.25">
      <c r="A667" t="s">
        <v>1601</v>
      </c>
      <c r="B667" t="s">
        <v>1617</v>
      </c>
      <c r="C667" t="s">
        <v>462</v>
      </c>
      <c r="D667" t="str">
        <f>_xlfn.XLOOKUP(C667,'Allow&amp;Disa Exp by Truelayer cat'!$B:$B,'Allow&amp;Disa Exp by Truelayer cat'!$C:$C)</f>
        <v>Allowable</v>
      </c>
      <c r="E667" s="116">
        <f>_xlfn.XLOOKUP(C667,'Allow&amp;Disa Exp by Truelayer cat'!$B:$B,'Allow&amp;Disa Exp by Truelayer cat'!$D:$D)</f>
        <v>0</v>
      </c>
      <c r="F667" t="str">
        <f>_xlfn.XLOOKUP(C667,'Allow&amp;Disa Exp by Truelayer cat'!$B:$B,'Allow&amp;Disa Exp by Truelayer cat'!$E:$E)</f>
        <v>Deduct from expenses</v>
      </c>
    </row>
    <row r="668" spans="1:6" x14ac:dyDescent="0.25">
      <c r="A668" t="s">
        <v>1601</v>
      </c>
      <c r="B668" t="s">
        <v>1618</v>
      </c>
      <c r="C668" t="s">
        <v>464</v>
      </c>
      <c r="D668" t="str">
        <f>_xlfn.XLOOKUP(C668,'Allow&amp;Disa Exp by Truelayer cat'!$B:$B,'Allow&amp;Disa Exp by Truelayer cat'!$C:$C)</f>
        <v>Allowable</v>
      </c>
      <c r="E668" s="116">
        <f>_xlfn.XLOOKUP(C668,'Allow&amp;Disa Exp by Truelayer cat'!$B:$B,'Allow&amp;Disa Exp by Truelayer cat'!$D:$D)</f>
        <v>0</v>
      </c>
      <c r="F668" t="str">
        <f>_xlfn.XLOOKUP(C668,'Allow&amp;Disa Exp by Truelayer cat'!$B:$B,'Allow&amp;Disa Exp by Truelayer cat'!$E:$E)</f>
        <v>Deduct from expenses</v>
      </c>
    </row>
    <row r="669" spans="1:6" x14ac:dyDescent="0.25">
      <c r="A669" t="s">
        <v>1619</v>
      </c>
      <c r="B669" t="s">
        <v>1620</v>
      </c>
      <c r="C669" t="s">
        <v>475</v>
      </c>
      <c r="D669" t="str">
        <f>_xlfn.XLOOKUP(C669,'Allow&amp;Disa Exp by Truelayer cat'!$B:$B,'Allow&amp;Disa Exp by Truelayer cat'!$C:$C)</f>
        <v>Allowable</v>
      </c>
      <c r="E669" s="116">
        <f>_xlfn.XLOOKUP(C669,'Allow&amp;Disa Exp by Truelayer cat'!$B:$B,'Allow&amp;Disa Exp by Truelayer cat'!$D:$D)</f>
        <v>0</v>
      </c>
      <c r="F669" t="str">
        <f>_xlfn.XLOOKUP(C669,'Allow&amp;Disa Exp by Truelayer cat'!$B:$B,'Allow&amp;Disa Exp by Truelayer cat'!$E:$E)</f>
        <v>Deduct from expenses</v>
      </c>
    </row>
    <row r="670" spans="1:6" x14ac:dyDescent="0.25">
      <c r="A670" t="s">
        <v>1619</v>
      </c>
      <c r="B670" t="s">
        <v>1621</v>
      </c>
      <c r="C670" t="s">
        <v>475</v>
      </c>
      <c r="D670" t="str">
        <f>_xlfn.XLOOKUP(C670,'Allow&amp;Disa Exp by Truelayer cat'!$B:$B,'Allow&amp;Disa Exp by Truelayer cat'!$C:$C)</f>
        <v>Allowable</v>
      </c>
      <c r="E670" s="116">
        <f>_xlfn.XLOOKUP(C670,'Allow&amp;Disa Exp by Truelayer cat'!$B:$B,'Allow&amp;Disa Exp by Truelayer cat'!$D:$D)</f>
        <v>0</v>
      </c>
      <c r="F670" t="str">
        <f>_xlfn.XLOOKUP(C670,'Allow&amp;Disa Exp by Truelayer cat'!$B:$B,'Allow&amp;Disa Exp by Truelayer cat'!$E:$E)</f>
        <v>Deduct from expenses</v>
      </c>
    </row>
    <row r="671" spans="1:6" x14ac:dyDescent="0.25">
      <c r="A671" t="s">
        <v>1619</v>
      </c>
      <c r="B671" t="s">
        <v>1622</v>
      </c>
      <c r="C671" t="s">
        <v>475</v>
      </c>
      <c r="D671" t="str">
        <f>_xlfn.XLOOKUP(C671,'Allow&amp;Disa Exp by Truelayer cat'!$B:$B,'Allow&amp;Disa Exp by Truelayer cat'!$C:$C)</f>
        <v>Allowable</v>
      </c>
      <c r="E671" s="116">
        <f>_xlfn.XLOOKUP(C671,'Allow&amp;Disa Exp by Truelayer cat'!$B:$B,'Allow&amp;Disa Exp by Truelayer cat'!$D:$D)</f>
        <v>0</v>
      </c>
      <c r="F671" t="str">
        <f>_xlfn.XLOOKUP(C671,'Allow&amp;Disa Exp by Truelayer cat'!$B:$B,'Allow&amp;Disa Exp by Truelayer cat'!$E:$E)</f>
        <v>Deduct from expenses</v>
      </c>
    </row>
    <row r="672" spans="1:6" x14ac:dyDescent="0.25">
      <c r="A672" t="s">
        <v>1619</v>
      </c>
      <c r="B672" t="s">
        <v>1623</v>
      </c>
      <c r="C672" t="s">
        <v>475</v>
      </c>
      <c r="D672" t="str">
        <f>_xlfn.XLOOKUP(C672,'Allow&amp;Disa Exp by Truelayer cat'!$B:$B,'Allow&amp;Disa Exp by Truelayer cat'!$C:$C)</f>
        <v>Allowable</v>
      </c>
      <c r="E672" s="116">
        <f>_xlfn.XLOOKUP(C672,'Allow&amp;Disa Exp by Truelayer cat'!$B:$B,'Allow&amp;Disa Exp by Truelayer cat'!$D:$D)</f>
        <v>0</v>
      </c>
      <c r="F672" t="str">
        <f>_xlfn.XLOOKUP(C672,'Allow&amp;Disa Exp by Truelayer cat'!$B:$B,'Allow&amp;Disa Exp by Truelayer cat'!$E:$E)</f>
        <v>Deduct from expenses</v>
      </c>
    </row>
    <row r="673" spans="1:6" x14ac:dyDescent="0.25">
      <c r="A673" t="s">
        <v>1619</v>
      </c>
      <c r="B673" t="s">
        <v>1624</v>
      </c>
      <c r="C673" t="s">
        <v>475</v>
      </c>
      <c r="D673" t="str">
        <f>_xlfn.XLOOKUP(C673,'Allow&amp;Disa Exp by Truelayer cat'!$B:$B,'Allow&amp;Disa Exp by Truelayer cat'!$C:$C)</f>
        <v>Allowable</v>
      </c>
      <c r="E673" s="116">
        <f>_xlfn.XLOOKUP(C673,'Allow&amp;Disa Exp by Truelayer cat'!$B:$B,'Allow&amp;Disa Exp by Truelayer cat'!$D:$D)</f>
        <v>0</v>
      </c>
      <c r="F673" t="str">
        <f>_xlfn.XLOOKUP(C673,'Allow&amp;Disa Exp by Truelayer cat'!$B:$B,'Allow&amp;Disa Exp by Truelayer cat'!$E:$E)</f>
        <v>Deduct from expenses</v>
      </c>
    </row>
    <row r="674" spans="1:6" x14ac:dyDescent="0.25">
      <c r="A674" t="s">
        <v>1619</v>
      </c>
      <c r="B674" t="s">
        <v>1625</v>
      </c>
      <c r="C674" t="s">
        <v>475</v>
      </c>
      <c r="D674" t="str">
        <f>_xlfn.XLOOKUP(C674,'Allow&amp;Disa Exp by Truelayer cat'!$B:$B,'Allow&amp;Disa Exp by Truelayer cat'!$C:$C)</f>
        <v>Allowable</v>
      </c>
      <c r="E674" s="116">
        <f>_xlfn.XLOOKUP(C674,'Allow&amp;Disa Exp by Truelayer cat'!$B:$B,'Allow&amp;Disa Exp by Truelayer cat'!$D:$D)</f>
        <v>0</v>
      </c>
      <c r="F674" t="str">
        <f>_xlfn.XLOOKUP(C674,'Allow&amp;Disa Exp by Truelayer cat'!$B:$B,'Allow&amp;Disa Exp by Truelayer cat'!$E:$E)</f>
        <v>Deduct from expenses</v>
      </c>
    </row>
    <row r="675" spans="1:6" x14ac:dyDescent="0.25">
      <c r="A675" t="s">
        <v>1619</v>
      </c>
      <c r="B675" t="s">
        <v>1626</v>
      </c>
      <c r="C675" t="s">
        <v>475</v>
      </c>
      <c r="D675" t="str">
        <f>_xlfn.XLOOKUP(C675,'Allow&amp;Disa Exp by Truelayer cat'!$B:$B,'Allow&amp;Disa Exp by Truelayer cat'!$C:$C)</f>
        <v>Allowable</v>
      </c>
      <c r="E675" s="116">
        <f>_xlfn.XLOOKUP(C675,'Allow&amp;Disa Exp by Truelayer cat'!$B:$B,'Allow&amp;Disa Exp by Truelayer cat'!$D:$D)</f>
        <v>0</v>
      </c>
      <c r="F675" t="str">
        <f>_xlfn.XLOOKUP(C675,'Allow&amp;Disa Exp by Truelayer cat'!$B:$B,'Allow&amp;Disa Exp by Truelayer cat'!$E:$E)</f>
        <v>Deduct from expenses</v>
      </c>
    </row>
    <row r="676" spans="1:6" x14ac:dyDescent="0.25">
      <c r="A676" t="s">
        <v>1619</v>
      </c>
      <c r="B676" t="s">
        <v>1627</v>
      </c>
      <c r="C676" t="s">
        <v>475</v>
      </c>
      <c r="D676" t="str">
        <f>_xlfn.XLOOKUP(C676,'Allow&amp;Disa Exp by Truelayer cat'!$B:$B,'Allow&amp;Disa Exp by Truelayer cat'!$C:$C)</f>
        <v>Allowable</v>
      </c>
      <c r="E676" s="116">
        <f>_xlfn.XLOOKUP(C676,'Allow&amp;Disa Exp by Truelayer cat'!$B:$B,'Allow&amp;Disa Exp by Truelayer cat'!$D:$D)</f>
        <v>0</v>
      </c>
      <c r="F676" t="str">
        <f>_xlfn.XLOOKUP(C676,'Allow&amp;Disa Exp by Truelayer cat'!$B:$B,'Allow&amp;Disa Exp by Truelayer cat'!$E:$E)</f>
        <v>Deduct from expenses</v>
      </c>
    </row>
    <row r="677" spans="1:6" x14ac:dyDescent="0.25">
      <c r="A677" t="s">
        <v>1619</v>
      </c>
      <c r="B677" t="s">
        <v>1628</v>
      </c>
      <c r="C677" t="s">
        <v>475</v>
      </c>
      <c r="D677" t="str">
        <f>_xlfn.XLOOKUP(C677,'Allow&amp;Disa Exp by Truelayer cat'!$B:$B,'Allow&amp;Disa Exp by Truelayer cat'!$C:$C)</f>
        <v>Allowable</v>
      </c>
      <c r="E677" s="116">
        <f>_xlfn.XLOOKUP(C677,'Allow&amp;Disa Exp by Truelayer cat'!$B:$B,'Allow&amp;Disa Exp by Truelayer cat'!$D:$D)</f>
        <v>0</v>
      </c>
      <c r="F677" t="str">
        <f>_xlfn.XLOOKUP(C677,'Allow&amp;Disa Exp by Truelayer cat'!$B:$B,'Allow&amp;Disa Exp by Truelayer cat'!$E:$E)</f>
        <v>Deduct from expenses</v>
      </c>
    </row>
    <row r="678" spans="1:6" x14ac:dyDescent="0.25">
      <c r="A678" t="s">
        <v>1619</v>
      </c>
      <c r="B678" t="s">
        <v>1629</v>
      </c>
      <c r="C678" t="s">
        <v>475</v>
      </c>
      <c r="D678" t="str">
        <f>_xlfn.XLOOKUP(C678,'Allow&amp;Disa Exp by Truelayer cat'!$B:$B,'Allow&amp;Disa Exp by Truelayer cat'!$C:$C)</f>
        <v>Allowable</v>
      </c>
      <c r="E678" s="116">
        <f>_xlfn.XLOOKUP(C678,'Allow&amp;Disa Exp by Truelayer cat'!$B:$B,'Allow&amp;Disa Exp by Truelayer cat'!$D:$D)</f>
        <v>0</v>
      </c>
      <c r="F678" t="str">
        <f>_xlfn.XLOOKUP(C678,'Allow&amp;Disa Exp by Truelayer cat'!$B:$B,'Allow&amp;Disa Exp by Truelayer cat'!$E:$E)</f>
        <v>Deduct from expenses</v>
      </c>
    </row>
    <row r="679" spans="1:6" x14ac:dyDescent="0.25">
      <c r="A679" t="s">
        <v>1619</v>
      </c>
      <c r="B679" t="s">
        <v>1630</v>
      </c>
      <c r="C679" t="s">
        <v>475</v>
      </c>
      <c r="D679" t="str">
        <f>_xlfn.XLOOKUP(C679,'Allow&amp;Disa Exp by Truelayer cat'!$B:$B,'Allow&amp;Disa Exp by Truelayer cat'!$C:$C)</f>
        <v>Allowable</v>
      </c>
      <c r="E679" s="116">
        <f>_xlfn.XLOOKUP(C679,'Allow&amp;Disa Exp by Truelayer cat'!$B:$B,'Allow&amp;Disa Exp by Truelayer cat'!$D:$D)</f>
        <v>0</v>
      </c>
      <c r="F679" t="str">
        <f>_xlfn.XLOOKUP(C679,'Allow&amp;Disa Exp by Truelayer cat'!$B:$B,'Allow&amp;Disa Exp by Truelayer cat'!$E:$E)</f>
        <v>Deduct from expenses</v>
      </c>
    </row>
    <row r="680" spans="1:6" x14ac:dyDescent="0.25">
      <c r="A680" t="s">
        <v>1619</v>
      </c>
      <c r="B680" t="s">
        <v>1631</v>
      </c>
      <c r="C680" t="s">
        <v>475</v>
      </c>
      <c r="D680" t="str">
        <f>_xlfn.XLOOKUP(C680,'Allow&amp;Disa Exp by Truelayer cat'!$B:$B,'Allow&amp;Disa Exp by Truelayer cat'!$C:$C)</f>
        <v>Allowable</v>
      </c>
      <c r="E680" s="116">
        <f>_xlfn.XLOOKUP(C680,'Allow&amp;Disa Exp by Truelayer cat'!$B:$B,'Allow&amp;Disa Exp by Truelayer cat'!$D:$D)</f>
        <v>0</v>
      </c>
      <c r="F680" t="str">
        <f>_xlfn.XLOOKUP(C680,'Allow&amp;Disa Exp by Truelayer cat'!$B:$B,'Allow&amp;Disa Exp by Truelayer cat'!$E:$E)</f>
        <v>Deduct from expenses</v>
      </c>
    </row>
    <row r="681" spans="1:6" x14ac:dyDescent="0.25">
      <c r="A681" t="s">
        <v>1619</v>
      </c>
      <c r="B681" t="s">
        <v>1632</v>
      </c>
      <c r="C681" t="s">
        <v>475</v>
      </c>
      <c r="D681" t="str">
        <f>_xlfn.XLOOKUP(C681,'Allow&amp;Disa Exp by Truelayer cat'!$B:$B,'Allow&amp;Disa Exp by Truelayer cat'!$C:$C)</f>
        <v>Allowable</v>
      </c>
      <c r="E681" s="116">
        <f>_xlfn.XLOOKUP(C681,'Allow&amp;Disa Exp by Truelayer cat'!$B:$B,'Allow&amp;Disa Exp by Truelayer cat'!$D:$D)</f>
        <v>0</v>
      </c>
      <c r="F681" t="str">
        <f>_xlfn.XLOOKUP(C681,'Allow&amp;Disa Exp by Truelayer cat'!$B:$B,'Allow&amp;Disa Exp by Truelayer cat'!$E:$E)</f>
        <v>Deduct from expenses</v>
      </c>
    </row>
    <row r="682" spans="1:6" x14ac:dyDescent="0.25">
      <c r="A682" t="s">
        <v>1619</v>
      </c>
      <c r="B682" t="s">
        <v>1633</v>
      </c>
      <c r="C682" t="s">
        <v>475</v>
      </c>
      <c r="D682" t="str">
        <f>_xlfn.XLOOKUP(C682,'Allow&amp;Disa Exp by Truelayer cat'!$B:$B,'Allow&amp;Disa Exp by Truelayer cat'!$C:$C)</f>
        <v>Allowable</v>
      </c>
      <c r="E682" s="116">
        <f>_xlfn.XLOOKUP(C682,'Allow&amp;Disa Exp by Truelayer cat'!$B:$B,'Allow&amp;Disa Exp by Truelayer cat'!$D:$D)</f>
        <v>0</v>
      </c>
      <c r="F682" t="str">
        <f>_xlfn.XLOOKUP(C682,'Allow&amp;Disa Exp by Truelayer cat'!$B:$B,'Allow&amp;Disa Exp by Truelayer cat'!$E:$E)</f>
        <v>Deduct from expenses</v>
      </c>
    </row>
    <row r="683" spans="1:6" x14ac:dyDescent="0.25">
      <c r="A683" t="s">
        <v>1619</v>
      </c>
      <c r="B683" t="s">
        <v>1634</v>
      </c>
      <c r="C683" t="s">
        <v>475</v>
      </c>
      <c r="D683" t="str">
        <f>_xlfn.XLOOKUP(C683,'Allow&amp;Disa Exp by Truelayer cat'!$B:$B,'Allow&amp;Disa Exp by Truelayer cat'!$C:$C)</f>
        <v>Allowable</v>
      </c>
      <c r="E683" s="116">
        <f>_xlfn.XLOOKUP(C683,'Allow&amp;Disa Exp by Truelayer cat'!$B:$B,'Allow&amp;Disa Exp by Truelayer cat'!$D:$D)</f>
        <v>0</v>
      </c>
      <c r="F683" t="str">
        <f>_xlfn.XLOOKUP(C683,'Allow&amp;Disa Exp by Truelayer cat'!$B:$B,'Allow&amp;Disa Exp by Truelayer cat'!$E:$E)</f>
        <v>Deduct from expenses</v>
      </c>
    </row>
    <row r="684" spans="1:6" x14ac:dyDescent="0.25">
      <c r="A684" t="s">
        <v>1619</v>
      </c>
      <c r="B684" t="s">
        <v>1635</v>
      </c>
      <c r="C684" t="s">
        <v>475</v>
      </c>
      <c r="D684" t="str">
        <f>_xlfn.XLOOKUP(C684,'Allow&amp;Disa Exp by Truelayer cat'!$B:$B,'Allow&amp;Disa Exp by Truelayer cat'!$C:$C)</f>
        <v>Allowable</v>
      </c>
      <c r="E684" s="116">
        <f>_xlfn.XLOOKUP(C684,'Allow&amp;Disa Exp by Truelayer cat'!$B:$B,'Allow&amp;Disa Exp by Truelayer cat'!$D:$D)</f>
        <v>0</v>
      </c>
      <c r="F684" t="str">
        <f>_xlfn.XLOOKUP(C684,'Allow&amp;Disa Exp by Truelayer cat'!$B:$B,'Allow&amp;Disa Exp by Truelayer cat'!$E:$E)</f>
        <v>Deduct from expenses</v>
      </c>
    </row>
    <row r="685" spans="1:6" x14ac:dyDescent="0.25">
      <c r="A685" t="s">
        <v>1619</v>
      </c>
      <c r="B685" t="s">
        <v>1636</v>
      </c>
      <c r="C685" t="s">
        <v>475</v>
      </c>
      <c r="D685" t="str">
        <f>_xlfn.XLOOKUP(C685,'Allow&amp;Disa Exp by Truelayer cat'!$B:$B,'Allow&amp;Disa Exp by Truelayer cat'!$C:$C)</f>
        <v>Allowable</v>
      </c>
      <c r="E685" s="116">
        <f>_xlfn.XLOOKUP(C685,'Allow&amp;Disa Exp by Truelayer cat'!$B:$B,'Allow&amp;Disa Exp by Truelayer cat'!$D:$D)</f>
        <v>0</v>
      </c>
      <c r="F685" t="str">
        <f>_xlfn.XLOOKUP(C685,'Allow&amp;Disa Exp by Truelayer cat'!$B:$B,'Allow&amp;Disa Exp by Truelayer cat'!$E:$E)</f>
        <v>Deduct from expenses</v>
      </c>
    </row>
    <row r="686" spans="1:6" x14ac:dyDescent="0.25">
      <c r="A686" t="s">
        <v>1619</v>
      </c>
      <c r="B686" t="s">
        <v>1637</v>
      </c>
      <c r="C686" t="s">
        <v>475</v>
      </c>
      <c r="D686" t="str">
        <f>_xlfn.XLOOKUP(C686,'Allow&amp;Disa Exp by Truelayer cat'!$B:$B,'Allow&amp;Disa Exp by Truelayer cat'!$C:$C)</f>
        <v>Allowable</v>
      </c>
      <c r="E686" s="116">
        <f>_xlfn.XLOOKUP(C686,'Allow&amp;Disa Exp by Truelayer cat'!$B:$B,'Allow&amp;Disa Exp by Truelayer cat'!$D:$D)</f>
        <v>0</v>
      </c>
      <c r="F686" t="str">
        <f>_xlfn.XLOOKUP(C686,'Allow&amp;Disa Exp by Truelayer cat'!$B:$B,'Allow&amp;Disa Exp by Truelayer cat'!$E:$E)</f>
        <v>Deduct from expenses</v>
      </c>
    </row>
    <row r="687" spans="1:6" x14ac:dyDescent="0.25">
      <c r="A687" t="s">
        <v>1619</v>
      </c>
      <c r="B687" t="s">
        <v>1638</v>
      </c>
      <c r="C687" t="s">
        <v>475</v>
      </c>
      <c r="D687" t="str">
        <f>_xlfn.XLOOKUP(C687,'Allow&amp;Disa Exp by Truelayer cat'!$B:$B,'Allow&amp;Disa Exp by Truelayer cat'!$C:$C)</f>
        <v>Allowable</v>
      </c>
      <c r="E687" s="116">
        <f>_xlfn.XLOOKUP(C687,'Allow&amp;Disa Exp by Truelayer cat'!$B:$B,'Allow&amp;Disa Exp by Truelayer cat'!$D:$D)</f>
        <v>0</v>
      </c>
      <c r="F687" t="str">
        <f>_xlfn.XLOOKUP(C687,'Allow&amp;Disa Exp by Truelayer cat'!$B:$B,'Allow&amp;Disa Exp by Truelayer cat'!$E:$E)</f>
        <v>Deduct from expenses</v>
      </c>
    </row>
    <row r="688" spans="1:6" x14ac:dyDescent="0.25">
      <c r="A688" t="s">
        <v>1619</v>
      </c>
      <c r="B688" t="s">
        <v>1639</v>
      </c>
      <c r="C688" t="s">
        <v>475</v>
      </c>
      <c r="D688" t="str">
        <f>_xlfn.XLOOKUP(C688,'Allow&amp;Disa Exp by Truelayer cat'!$B:$B,'Allow&amp;Disa Exp by Truelayer cat'!$C:$C)</f>
        <v>Allowable</v>
      </c>
      <c r="E688" s="116">
        <f>_xlfn.XLOOKUP(C688,'Allow&amp;Disa Exp by Truelayer cat'!$B:$B,'Allow&amp;Disa Exp by Truelayer cat'!$D:$D)</f>
        <v>0</v>
      </c>
      <c r="F688" t="str">
        <f>_xlfn.XLOOKUP(C688,'Allow&amp;Disa Exp by Truelayer cat'!$B:$B,'Allow&amp;Disa Exp by Truelayer cat'!$E:$E)</f>
        <v>Deduct from expenses</v>
      </c>
    </row>
    <row r="689" spans="1:6" x14ac:dyDescent="0.25">
      <c r="A689" t="s">
        <v>1619</v>
      </c>
      <c r="B689" t="s">
        <v>1640</v>
      </c>
      <c r="C689" t="s">
        <v>475</v>
      </c>
      <c r="D689" t="str">
        <f>_xlfn.XLOOKUP(C689,'Allow&amp;Disa Exp by Truelayer cat'!$B:$B,'Allow&amp;Disa Exp by Truelayer cat'!$C:$C)</f>
        <v>Allowable</v>
      </c>
      <c r="E689" s="116">
        <f>_xlfn.XLOOKUP(C689,'Allow&amp;Disa Exp by Truelayer cat'!$B:$B,'Allow&amp;Disa Exp by Truelayer cat'!$D:$D)</f>
        <v>0</v>
      </c>
      <c r="F689" t="str">
        <f>_xlfn.XLOOKUP(C689,'Allow&amp;Disa Exp by Truelayer cat'!$B:$B,'Allow&amp;Disa Exp by Truelayer cat'!$E:$E)</f>
        <v>Deduct from expenses</v>
      </c>
    </row>
    <row r="690" spans="1:6" x14ac:dyDescent="0.25">
      <c r="A690" t="s">
        <v>1619</v>
      </c>
      <c r="B690" t="s">
        <v>1641</v>
      </c>
      <c r="C690" t="s">
        <v>475</v>
      </c>
      <c r="D690" t="str">
        <f>_xlfn.XLOOKUP(C690,'Allow&amp;Disa Exp by Truelayer cat'!$B:$B,'Allow&amp;Disa Exp by Truelayer cat'!$C:$C)</f>
        <v>Allowable</v>
      </c>
      <c r="E690" s="116">
        <f>_xlfn.XLOOKUP(C690,'Allow&amp;Disa Exp by Truelayer cat'!$B:$B,'Allow&amp;Disa Exp by Truelayer cat'!$D:$D)</f>
        <v>0</v>
      </c>
      <c r="F690" t="str">
        <f>_xlfn.XLOOKUP(C690,'Allow&amp;Disa Exp by Truelayer cat'!$B:$B,'Allow&amp;Disa Exp by Truelayer cat'!$E:$E)</f>
        <v>Deduct from expenses</v>
      </c>
    </row>
    <row r="691" spans="1:6" x14ac:dyDescent="0.25">
      <c r="A691" t="s">
        <v>1619</v>
      </c>
      <c r="B691" t="s">
        <v>1642</v>
      </c>
      <c r="C691" t="s">
        <v>475</v>
      </c>
      <c r="D691" t="str">
        <f>_xlfn.XLOOKUP(C691,'Allow&amp;Disa Exp by Truelayer cat'!$B:$B,'Allow&amp;Disa Exp by Truelayer cat'!$C:$C)</f>
        <v>Allowable</v>
      </c>
      <c r="E691" s="116">
        <f>_xlfn.XLOOKUP(C691,'Allow&amp;Disa Exp by Truelayer cat'!$B:$B,'Allow&amp;Disa Exp by Truelayer cat'!$D:$D)</f>
        <v>0</v>
      </c>
      <c r="F691" t="str">
        <f>_xlfn.XLOOKUP(C691,'Allow&amp;Disa Exp by Truelayer cat'!$B:$B,'Allow&amp;Disa Exp by Truelayer cat'!$E:$E)</f>
        <v>Deduct from expenses</v>
      </c>
    </row>
    <row r="692" spans="1:6" x14ac:dyDescent="0.25">
      <c r="A692" t="s">
        <v>1619</v>
      </c>
      <c r="B692" t="s">
        <v>1643</v>
      </c>
      <c r="C692" t="s">
        <v>475</v>
      </c>
      <c r="D692" t="str">
        <f>_xlfn.XLOOKUP(C692,'Allow&amp;Disa Exp by Truelayer cat'!$B:$B,'Allow&amp;Disa Exp by Truelayer cat'!$C:$C)</f>
        <v>Allowable</v>
      </c>
      <c r="E692" s="116">
        <f>_xlfn.XLOOKUP(C692,'Allow&amp;Disa Exp by Truelayer cat'!$B:$B,'Allow&amp;Disa Exp by Truelayer cat'!$D:$D)</f>
        <v>0</v>
      </c>
      <c r="F692" t="str">
        <f>_xlfn.XLOOKUP(C692,'Allow&amp;Disa Exp by Truelayer cat'!$B:$B,'Allow&amp;Disa Exp by Truelayer cat'!$E:$E)</f>
        <v>Deduct from expenses</v>
      </c>
    </row>
    <row r="693" spans="1:6" x14ac:dyDescent="0.25">
      <c r="A693" t="s">
        <v>1619</v>
      </c>
      <c r="B693" t="s">
        <v>1644</v>
      </c>
      <c r="C693" t="s">
        <v>475</v>
      </c>
      <c r="D693" t="str">
        <f>_xlfn.XLOOKUP(C693,'Allow&amp;Disa Exp by Truelayer cat'!$B:$B,'Allow&amp;Disa Exp by Truelayer cat'!$C:$C)</f>
        <v>Allowable</v>
      </c>
      <c r="E693" s="116">
        <f>_xlfn.XLOOKUP(C693,'Allow&amp;Disa Exp by Truelayer cat'!$B:$B,'Allow&amp;Disa Exp by Truelayer cat'!$D:$D)</f>
        <v>0</v>
      </c>
      <c r="F693" t="str">
        <f>_xlfn.XLOOKUP(C693,'Allow&amp;Disa Exp by Truelayer cat'!$B:$B,'Allow&amp;Disa Exp by Truelayer cat'!$E:$E)</f>
        <v>Deduct from expenses</v>
      </c>
    </row>
    <row r="694" spans="1:6" x14ac:dyDescent="0.25">
      <c r="A694" t="s">
        <v>1619</v>
      </c>
      <c r="B694" t="s">
        <v>1645</v>
      </c>
      <c r="C694" t="s">
        <v>475</v>
      </c>
      <c r="D694" t="str">
        <f>_xlfn.XLOOKUP(C694,'Allow&amp;Disa Exp by Truelayer cat'!$B:$B,'Allow&amp;Disa Exp by Truelayer cat'!$C:$C)</f>
        <v>Allowable</v>
      </c>
      <c r="E694" s="116">
        <f>_xlfn.XLOOKUP(C694,'Allow&amp;Disa Exp by Truelayer cat'!$B:$B,'Allow&amp;Disa Exp by Truelayer cat'!$D:$D)</f>
        <v>0</v>
      </c>
      <c r="F694" t="str">
        <f>_xlfn.XLOOKUP(C694,'Allow&amp;Disa Exp by Truelayer cat'!$B:$B,'Allow&amp;Disa Exp by Truelayer cat'!$E:$E)</f>
        <v>Deduct from expenses</v>
      </c>
    </row>
    <row r="695" spans="1:6" x14ac:dyDescent="0.25">
      <c r="A695" t="s">
        <v>1619</v>
      </c>
      <c r="B695" t="s">
        <v>1646</v>
      </c>
      <c r="C695" t="s">
        <v>475</v>
      </c>
      <c r="D695" t="str">
        <f>_xlfn.XLOOKUP(C695,'Allow&amp;Disa Exp by Truelayer cat'!$B:$B,'Allow&amp;Disa Exp by Truelayer cat'!$C:$C)</f>
        <v>Allowable</v>
      </c>
      <c r="E695" s="116">
        <f>_xlfn.XLOOKUP(C695,'Allow&amp;Disa Exp by Truelayer cat'!$B:$B,'Allow&amp;Disa Exp by Truelayer cat'!$D:$D)</f>
        <v>0</v>
      </c>
      <c r="F695" t="str">
        <f>_xlfn.XLOOKUP(C695,'Allow&amp;Disa Exp by Truelayer cat'!$B:$B,'Allow&amp;Disa Exp by Truelayer cat'!$E:$E)</f>
        <v>Deduct from expenses</v>
      </c>
    </row>
    <row r="696" spans="1:6" x14ac:dyDescent="0.25">
      <c r="A696" t="s">
        <v>1619</v>
      </c>
      <c r="B696" t="s">
        <v>1647</v>
      </c>
      <c r="C696" t="s">
        <v>475</v>
      </c>
      <c r="D696" t="str">
        <f>_xlfn.XLOOKUP(C696,'Allow&amp;Disa Exp by Truelayer cat'!$B:$B,'Allow&amp;Disa Exp by Truelayer cat'!$C:$C)</f>
        <v>Allowable</v>
      </c>
      <c r="E696" s="116">
        <f>_xlfn.XLOOKUP(C696,'Allow&amp;Disa Exp by Truelayer cat'!$B:$B,'Allow&amp;Disa Exp by Truelayer cat'!$D:$D)</f>
        <v>0</v>
      </c>
      <c r="F696" t="str">
        <f>_xlfn.XLOOKUP(C696,'Allow&amp;Disa Exp by Truelayer cat'!$B:$B,'Allow&amp;Disa Exp by Truelayer cat'!$E:$E)</f>
        <v>Deduct from expenses</v>
      </c>
    </row>
    <row r="697" spans="1:6" x14ac:dyDescent="0.25">
      <c r="A697" t="s">
        <v>1619</v>
      </c>
      <c r="B697" t="s">
        <v>1648</v>
      </c>
      <c r="C697" t="s">
        <v>475</v>
      </c>
      <c r="D697" t="str">
        <f>_xlfn.XLOOKUP(C697,'Allow&amp;Disa Exp by Truelayer cat'!$B:$B,'Allow&amp;Disa Exp by Truelayer cat'!$C:$C)</f>
        <v>Allowable</v>
      </c>
      <c r="E697" s="116">
        <f>_xlfn.XLOOKUP(C697,'Allow&amp;Disa Exp by Truelayer cat'!$B:$B,'Allow&amp;Disa Exp by Truelayer cat'!$D:$D)</f>
        <v>0</v>
      </c>
      <c r="F697" t="str">
        <f>_xlfn.XLOOKUP(C697,'Allow&amp;Disa Exp by Truelayer cat'!$B:$B,'Allow&amp;Disa Exp by Truelayer cat'!$E:$E)</f>
        <v>Deduct from expenses</v>
      </c>
    </row>
    <row r="698" spans="1:6" x14ac:dyDescent="0.25">
      <c r="A698" t="s">
        <v>1619</v>
      </c>
      <c r="B698" t="s">
        <v>1649</v>
      </c>
      <c r="C698" t="s">
        <v>475</v>
      </c>
      <c r="D698" t="str">
        <f>_xlfn.XLOOKUP(C698,'Allow&amp;Disa Exp by Truelayer cat'!$B:$B,'Allow&amp;Disa Exp by Truelayer cat'!$C:$C)</f>
        <v>Allowable</v>
      </c>
      <c r="E698" s="116">
        <f>_xlfn.XLOOKUP(C698,'Allow&amp;Disa Exp by Truelayer cat'!$B:$B,'Allow&amp;Disa Exp by Truelayer cat'!$D:$D)</f>
        <v>0</v>
      </c>
      <c r="F698" t="str">
        <f>_xlfn.XLOOKUP(C698,'Allow&amp;Disa Exp by Truelayer cat'!$B:$B,'Allow&amp;Disa Exp by Truelayer cat'!$E:$E)</f>
        <v>Deduct from expenses</v>
      </c>
    </row>
    <row r="699" spans="1:6" x14ac:dyDescent="0.25">
      <c r="A699" t="s">
        <v>1619</v>
      </c>
      <c r="B699" t="s">
        <v>1650</v>
      </c>
      <c r="C699" t="s">
        <v>475</v>
      </c>
      <c r="D699" t="str">
        <f>_xlfn.XLOOKUP(C699,'Allow&amp;Disa Exp by Truelayer cat'!$B:$B,'Allow&amp;Disa Exp by Truelayer cat'!$C:$C)</f>
        <v>Allowable</v>
      </c>
      <c r="E699" s="116">
        <f>_xlfn.XLOOKUP(C699,'Allow&amp;Disa Exp by Truelayer cat'!$B:$B,'Allow&amp;Disa Exp by Truelayer cat'!$D:$D)</f>
        <v>0</v>
      </c>
      <c r="F699" t="str">
        <f>_xlfn.XLOOKUP(C699,'Allow&amp;Disa Exp by Truelayer cat'!$B:$B,'Allow&amp;Disa Exp by Truelayer cat'!$E:$E)</f>
        <v>Deduct from expenses</v>
      </c>
    </row>
    <row r="700" spans="1:6" x14ac:dyDescent="0.25">
      <c r="A700" t="s">
        <v>1619</v>
      </c>
      <c r="B700" t="s">
        <v>1651</v>
      </c>
      <c r="C700" t="s">
        <v>475</v>
      </c>
      <c r="D700" t="str">
        <f>_xlfn.XLOOKUP(C700,'Allow&amp;Disa Exp by Truelayer cat'!$B:$B,'Allow&amp;Disa Exp by Truelayer cat'!$C:$C)</f>
        <v>Allowable</v>
      </c>
      <c r="E700" s="116">
        <f>_xlfn.XLOOKUP(C700,'Allow&amp;Disa Exp by Truelayer cat'!$B:$B,'Allow&amp;Disa Exp by Truelayer cat'!$D:$D)</f>
        <v>0</v>
      </c>
      <c r="F700" t="str">
        <f>_xlfn.XLOOKUP(C700,'Allow&amp;Disa Exp by Truelayer cat'!$B:$B,'Allow&amp;Disa Exp by Truelayer cat'!$E:$E)</f>
        <v>Deduct from expenses</v>
      </c>
    </row>
    <row r="701" spans="1:6" x14ac:dyDescent="0.25">
      <c r="A701" t="s">
        <v>1619</v>
      </c>
      <c r="B701" t="s">
        <v>1652</v>
      </c>
      <c r="C701" t="s">
        <v>475</v>
      </c>
      <c r="D701" t="str">
        <f>_xlfn.XLOOKUP(C701,'Allow&amp;Disa Exp by Truelayer cat'!$B:$B,'Allow&amp;Disa Exp by Truelayer cat'!$C:$C)</f>
        <v>Allowable</v>
      </c>
      <c r="E701" s="116">
        <f>_xlfn.XLOOKUP(C701,'Allow&amp;Disa Exp by Truelayer cat'!$B:$B,'Allow&amp;Disa Exp by Truelayer cat'!$D:$D)</f>
        <v>0</v>
      </c>
      <c r="F701" t="str">
        <f>_xlfn.XLOOKUP(C701,'Allow&amp;Disa Exp by Truelayer cat'!$B:$B,'Allow&amp;Disa Exp by Truelayer cat'!$E:$E)</f>
        <v>Deduct from expenses</v>
      </c>
    </row>
    <row r="702" spans="1:6" x14ac:dyDescent="0.25">
      <c r="A702" t="s">
        <v>1619</v>
      </c>
      <c r="B702" t="s">
        <v>1653</v>
      </c>
      <c r="C702" t="s">
        <v>475</v>
      </c>
      <c r="D702" t="str">
        <f>_xlfn.XLOOKUP(C702,'Allow&amp;Disa Exp by Truelayer cat'!$B:$B,'Allow&amp;Disa Exp by Truelayer cat'!$C:$C)</f>
        <v>Allowable</v>
      </c>
      <c r="E702" s="116">
        <f>_xlfn.XLOOKUP(C702,'Allow&amp;Disa Exp by Truelayer cat'!$B:$B,'Allow&amp;Disa Exp by Truelayer cat'!$D:$D)</f>
        <v>0</v>
      </c>
      <c r="F702" t="str">
        <f>_xlfn.XLOOKUP(C702,'Allow&amp;Disa Exp by Truelayer cat'!$B:$B,'Allow&amp;Disa Exp by Truelayer cat'!$E:$E)</f>
        <v>Deduct from expenses</v>
      </c>
    </row>
    <row r="703" spans="1:6" x14ac:dyDescent="0.25">
      <c r="A703" t="s">
        <v>1619</v>
      </c>
      <c r="B703" t="s">
        <v>1654</v>
      </c>
      <c r="C703" t="s">
        <v>475</v>
      </c>
      <c r="D703" t="str">
        <f>_xlfn.XLOOKUP(C703,'Allow&amp;Disa Exp by Truelayer cat'!$B:$B,'Allow&amp;Disa Exp by Truelayer cat'!$C:$C)</f>
        <v>Allowable</v>
      </c>
      <c r="E703" s="116">
        <f>_xlfn.XLOOKUP(C703,'Allow&amp;Disa Exp by Truelayer cat'!$B:$B,'Allow&amp;Disa Exp by Truelayer cat'!$D:$D)</f>
        <v>0</v>
      </c>
      <c r="F703" t="str">
        <f>_xlfn.XLOOKUP(C703,'Allow&amp;Disa Exp by Truelayer cat'!$B:$B,'Allow&amp;Disa Exp by Truelayer cat'!$E:$E)</f>
        <v>Deduct from expenses</v>
      </c>
    </row>
    <row r="704" spans="1:6" x14ac:dyDescent="0.25">
      <c r="A704" t="s">
        <v>1619</v>
      </c>
      <c r="B704" t="s">
        <v>1655</v>
      </c>
      <c r="C704" t="s">
        <v>475</v>
      </c>
      <c r="D704" t="str">
        <f>_xlfn.XLOOKUP(C704,'Allow&amp;Disa Exp by Truelayer cat'!$B:$B,'Allow&amp;Disa Exp by Truelayer cat'!$C:$C)</f>
        <v>Allowable</v>
      </c>
      <c r="E704" s="116">
        <f>_xlfn.XLOOKUP(C704,'Allow&amp;Disa Exp by Truelayer cat'!$B:$B,'Allow&amp;Disa Exp by Truelayer cat'!$D:$D)</f>
        <v>0</v>
      </c>
      <c r="F704" t="str">
        <f>_xlfn.XLOOKUP(C704,'Allow&amp;Disa Exp by Truelayer cat'!$B:$B,'Allow&amp;Disa Exp by Truelayer cat'!$E:$E)</f>
        <v>Deduct from expenses</v>
      </c>
    </row>
    <row r="705" spans="1:6" x14ac:dyDescent="0.25">
      <c r="A705" t="s">
        <v>1656</v>
      </c>
      <c r="B705" t="s">
        <v>1657</v>
      </c>
      <c r="C705" t="s">
        <v>466</v>
      </c>
      <c r="D705" t="str">
        <f>_xlfn.XLOOKUP(C705,'Allow&amp;Disa Exp by Truelayer cat'!$B:$B,'Allow&amp;Disa Exp by Truelayer cat'!$C:$C)</f>
        <v>Allowable</v>
      </c>
      <c r="E705" s="116">
        <f>_xlfn.XLOOKUP(C705,'Allow&amp;Disa Exp by Truelayer cat'!$B:$B,'Allow&amp;Disa Exp by Truelayer cat'!$D:$D)</f>
        <v>0</v>
      </c>
      <c r="F705" t="str">
        <f>_xlfn.XLOOKUP(C705,'Allow&amp;Disa Exp by Truelayer cat'!$B:$B,'Allow&amp;Disa Exp by Truelayer cat'!$E:$E)</f>
        <v>Deduct from expenses</v>
      </c>
    </row>
    <row r="706" spans="1:6" x14ac:dyDescent="0.25">
      <c r="A706" t="s">
        <v>1656</v>
      </c>
      <c r="B706" t="s">
        <v>1105</v>
      </c>
      <c r="C706" t="s">
        <v>503</v>
      </c>
      <c r="D706" t="str">
        <f>_xlfn.XLOOKUP(C706,'Allow&amp;Disa Exp by Truelayer cat'!$B:$B,'Allow&amp;Disa Exp by Truelayer cat'!$C:$C)</f>
        <v>Allowable</v>
      </c>
      <c r="E706" s="116">
        <f>_xlfn.XLOOKUP(C706,'Allow&amp;Disa Exp by Truelayer cat'!$B:$B,'Allow&amp;Disa Exp by Truelayer cat'!$D:$D)</f>
        <v>0</v>
      </c>
      <c r="F706" t="str">
        <f>_xlfn.XLOOKUP(C706,'Allow&amp;Disa Exp by Truelayer cat'!$B:$B,'Allow&amp;Disa Exp by Truelayer cat'!$E:$E)</f>
        <v>Deduct from expenses</v>
      </c>
    </row>
    <row r="707" spans="1:6" x14ac:dyDescent="0.25">
      <c r="A707" t="s">
        <v>1656</v>
      </c>
      <c r="B707" t="s">
        <v>1658</v>
      </c>
      <c r="C707" t="s">
        <v>466</v>
      </c>
      <c r="D707" t="str">
        <f>_xlfn.XLOOKUP(C707,'Allow&amp;Disa Exp by Truelayer cat'!$B:$B,'Allow&amp;Disa Exp by Truelayer cat'!$C:$C)</f>
        <v>Allowable</v>
      </c>
      <c r="E707" s="116">
        <f>_xlfn.XLOOKUP(C707,'Allow&amp;Disa Exp by Truelayer cat'!$B:$B,'Allow&amp;Disa Exp by Truelayer cat'!$D:$D)</f>
        <v>0</v>
      </c>
      <c r="F707" t="str">
        <f>_xlfn.XLOOKUP(C707,'Allow&amp;Disa Exp by Truelayer cat'!$B:$B,'Allow&amp;Disa Exp by Truelayer cat'!$E:$E)</f>
        <v>Deduct from expenses</v>
      </c>
    </row>
    <row r="708" spans="1:6" x14ac:dyDescent="0.25">
      <c r="A708" t="s">
        <v>1656</v>
      </c>
      <c r="B708" t="s">
        <v>1659</v>
      </c>
      <c r="C708" t="s">
        <v>503</v>
      </c>
      <c r="D708" t="str">
        <f>_xlfn.XLOOKUP(C708,'Allow&amp;Disa Exp by Truelayer cat'!$B:$B,'Allow&amp;Disa Exp by Truelayer cat'!$C:$C)</f>
        <v>Allowable</v>
      </c>
      <c r="E708" s="116">
        <f>_xlfn.XLOOKUP(C708,'Allow&amp;Disa Exp by Truelayer cat'!$B:$B,'Allow&amp;Disa Exp by Truelayer cat'!$D:$D)</f>
        <v>0</v>
      </c>
      <c r="F708" t="str">
        <f>_xlfn.XLOOKUP(C708,'Allow&amp;Disa Exp by Truelayer cat'!$B:$B,'Allow&amp;Disa Exp by Truelayer cat'!$E:$E)</f>
        <v>Deduct from expenses</v>
      </c>
    </row>
    <row r="709" spans="1:6" x14ac:dyDescent="0.25">
      <c r="A709" t="s">
        <v>1656</v>
      </c>
      <c r="B709" t="s">
        <v>1660</v>
      </c>
      <c r="C709" t="s">
        <v>466</v>
      </c>
      <c r="D709" t="str">
        <f>_xlfn.XLOOKUP(C709,'Allow&amp;Disa Exp by Truelayer cat'!$B:$B,'Allow&amp;Disa Exp by Truelayer cat'!$C:$C)</f>
        <v>Allowable</v>
      </c>
      <c r="E709" s="116">
        <f>_xlfn.XLOOKUP(C709,'Allow&amp;Disa Exp by Truelayer cat'!$B:$B,'Allow&amp;Disa Exp by Truelayer cat'!$D:$D)</f>
        <v>0</v>
      </c>
      <c r="F709" t="str">
        <f>_xlfn.XLOOKUP(C709,'Allow&amp;Disa Exp by Truelayer cat'!$B:$B,'Allow&amp;Disa Exp by Truelayer cat'!$E:$E)</f>
        <v>Deduct from expenses</v>
      </c>
    </row>
    <row r="710" spans="1:6" x14ac:dyDescent="0.25">
      <c r="A710" t="s">
        <v>1656</v>
      </c>
      <c r="B710" t="s">
        <v>1661</v>
      </c>
      <c r="C710" t="s">
        <v>466</v>
      </c>
      <c r="D710" t="str">
        <f>_xlfn.XLOOKUP(C710,'Allow&amp;Disa Exp by Truelayer cat'!$B:$B,'Allow&amp;Disa Exp by Truelayer cat'!$C:$C)</f>
        <v>Allowable</v>
      </c>
      <c r="E710" s="116">
        <f>_xlfn.XLOOKUP(C710,'Allow&amp;Disa Exp by Truelayer cat'!$B:$B,'Allow&amp;Disa Exp by Truelayer cat'!$D:$D)</f>
        <v>0</v>
      </c>
      <c r="F710" t="str">
        <f>_xlfn.XLOOKUP(C710,'Allow&amp;Disa Exp by Truelayer cat'!$B:$B,'Allow&amp;Disa Exp by Truelayer cat'!$E:$E)</f>
        <v>Deduct from expenses</v>
      </c>
    </row>
    <row r="711" spans="1:6" x14ac:dyDescent="0.25">
      <c r="A711" t="s">
        <v>1656</v>
      </c>
      <c r="B711" t="s">
        <v>1662</v>
      </c>
      <c r="C711" t="s">
        <v>466</v>
      </c>
      <c r="D711" t="str">
        <f>_xlfn.XLOOKUP(C711,'Allow&amp;Disa Exp by Truelayer cat'!$B:$B,'Allow&amp;Disa Exp by Truelayer cat'!$C:$C)</f>
        <v>Allowable</v>
      </c>
      <c r="E711" s="116">
        <f>_xlfn.XLOOKUP(C711,'Allow&amp;Disa Exp by Truelayer cat'!$B:$B,'Allow&amp;Disa Exp by Truelayer cat'!$D:$D)</f>
        <v>0</v>
      </c>
      <c r="F711" t="str">
        <f>_xlfn.XLOOKUP(C711,'Allow&amp;Disa Exp by Truelayer cat'!$B:$B,'Allow&amp;Disa Exp by Truelayer cat'!$E:$E)</f>
        <v>Deduct from expenses</v>
      </c>
    </row>
    <row r="712" spans="1:6" x14ac:dyDescent="0.25">
      <c r="A712" t="s">
        <v>1656</v>
      </c>
      <c r="B712" t="s">
        <v>1663</v>
      </c>
      <c r="C712" t="s">
        <v>466</v>
      </c>
      <c r="D712" t="str">
        <f>_xlfn.XLOOKUP(C712,'Allow&amp;Disa Exp by Truelayer cat'!$B:$B,'Allow&amp;Disa Exp by Truelayer cat'!$C:$C)</f>
        <v>Allowable</v>
      </c>
      <c r="E712" s="116">
        <f>_xlfn.XLOOKUP(C712,'Allow&amp;Disa Exp by Truelayer cat'!$B:$B,'Allow&amp;Disa Exp by Truelayer cat'!$D:$D)</f>
        <v>0</v>
      </c>
      <c r="F712" t="str">
        <f>_xlfn.XLOOKUP(C712,'Allow&amp;Disa Exp by Truelayer cat'!$B:$B,'Allow&amp;Disa Exp by Truelayer cat'!$E:$E)</f>
        <v>Deduct from expenses</v>
      </c>
    </row>
    <row r="713" spans="1:6" x14ac:dyDescent="0.25">
      <c r="A713" t="s">
        <v>1656</v>
      </c>
      <c r="B713" t="s">
        <v>182</v>
      </c>
      <c r="C713" t="s">
        <v>466</v>
      </c>
      <c r="D713" t="str">
        <f>_xlfn.XLOOKUP(C713,'Allow&amp;Disa Exp by Truelayer cat'!$B:$B,'Allow&amp;Disa Exp by Truelayer cat'!$C:$C)</f>
        <v>Allowable</v>
      </c>
      <c r="E713" s="116">
        <f>_xlfn.XLOOKUP(C713,'Allow&amp;Disa Exp by Truelayer cat'!$B:$B,'Allow&amp;Disa Exp by Truelayer cat'!$D:$D)</f>
        <v>0</v>
      </c>
      <c r="F713" t="str">
        <f>_xlfn.XLOOKUP(C713,'Allow&amp;Disa Exp by Truelayer cat'!$B:$B,'Allow&amp;Disa Exp by Truelayer cat'!$E:$E)</f>
        <v>Deduct from expenses</v>
      </c>
    </row>
    <row r="714" spans="1:6" x14ac:dyDescent="0.25">
      <c r="A714" t="s">
        <v>1656</v>
      </c>
      <c r="B714" t="s">
        <v>1664</v>
      </c>
      <c r="C714" t="s">
        <v>466</v>
      </c>
      <c r="D714" t="str">
        <f>_xlfn.XLOOKUP(C714,'Allow&amp;Disa Exp by Truelayer cat'!$B:$B,'Allow&amp;Disa Exp by Truelayer cat'!$C:$C)</f>
        <v>Allowable</v>
      </c>
      <c r="E714" s="116">
        <f>_xlfn.XLOOKUP(C714,'Allow&amp;Disa Exp by Truelayer cat'!$B:$B,'Allow&amp;Disa Exp by Truelayer cat'!$D:$D)</f>
        <v>0</v>
      </c>
      <c r="F714" t="str">
        <f>_xlfn.XLOOKUP(C714,'Allow&amp;Disa Exp by Truelayer cat'!$B:$B,'Allow&amp;Disa Exp by Truelayer cat'!$E:$E)</f>
        <v>Deduct from expenses</v>
      </c>
    </row>
    <row r="715" spans="1:6" x14ac:dyDescent="0.25">
      <c r="A715" t="s">
        <v>1656</v>
      </c>
      <c r="B715" t="s">
        <v>1665</v>
      </c>
      <c r="C715" t="s">
        <v>466</v>
      </c>
      <c r="D715" t="str">
        <f>_xlfn.XLOOKUP(C715,'Allow&amp;Disa Exp by Truelayer cat'!$B:$B,'Allow&amp;Disa Exp by Truelayer cat'!$C:$C)</f>
        <v>Allowable</v>
      </c>
      <c r="E715" s="116">
        <f>_xlfn.XLOOKUP(C715,'Allow&amp;Disa Exp by Truelayer cat'!$B:$B,'Allow&amp;Disa Exp by Truelayer cat'!$D:$D)</f>
        <v>0</v>
      </c>
      <c r="F715" t="str">
        <f>_xlfn.XLOOKUP(C715,'Allow&amp;Disa Exp by Truelayer cat'!$B:$B,'Allow&amp;Disa Exp by Truelayer cat'!$E:$E)</f>
        <v>Deduct from expenses</v>
      </c>
    </row>
    <row r="716" spans="1:6" x14ac:dyDescent="0.25">
      <c r="A716" t="s">
        <v>1656</v>
      </c>
      <c r="B716" t="s">
        <v>1666</v>
      </c>
      <c r="C716" t="s">
        <v>466</v>
      </c>
      <c r="D716" t="str">
        <f>_xlfn.XLOOKUP(C716,'Allow&amp;Disa Exp by Truelayer cat'!$B:$B,'Allow&amp;Disa Exp by Truelayer cat'!$C:$C)</f>
        <v>Allowable</v>
      </c>
      <c r="E716" s="116">
        <f>_xlfn.XLOOKUP(C716,'Allow&amp;Disa Exp by Truelayer cat'!$B:$B,'Allow&amp;Disa Exp by Truelayer cat'!$D:$D)</f>
        <v>0</v>
      </c>
      <c r="F716" t="str">
        <f>_xlfn.XLOOKUP(C716,'Allow&amp;Disa Exp by Truelayer cat'!$B:$B,'Allow&amp;Disa Exp by Truelayer cat'!$E:$E)</f>
        <v>Deduct from expenses</v>
      </c>
    </row>
    <row r="717" spans="1:6" x14ac:dyDescent="0.25">
      <c r="A717" t="s">
        <v>1656</v>
      </c>
      <c r="B717" t="s">
        <v>1667</v>
      </c>
      <c r="C717" t="s">
        <v>466</v>
      </c>
      <c r="D717" t="str">
        <f>_xlfn.XLOOKUP(C717,'Allow&amp;Disa Exp by Truelayer cat'!$B:$B,'Allow&amp;Disa Exp by Truelayer cat'!$C:$C)</f>
        <v>Allowable</v>
      </c>
      <c r="E717" s="116">
        <f>_xlfn.XLOOKUP(C717,'Allow&amp;Disa Exp by Truelayer cat'!$B:$B,'Allow&amp;Disa Exp by Truelayer cat'!$D:$D)</f>
        <v>0</v>
      </c>
      <c r="F717" t="str">
        <f>_xlfn.XLOOKUP(C717,'Allow&amp;Disa Exp by Truelayer cat'!$B:$B,'Allow&amp;Disa Exp by Truelayer cat'!$E:$E)</f>
        <v>Deduct from expenses</v>
      </c>
    </row>
    <row r="718" spans="1:6" x14ac:dyDescent="0.25">
      <c r="A718" t="s">
        <v>1656</v>
      </c>
      <c r="B718" t="s">
        <v>1668</v>
      </c>
      <c r="C718" t="s">
        <v>466</v>
      </c>
      <c r="D718" t="str">
        <f>_xlfn.XLOOKUP(C718,'Allow&amp;Disa Exp by Truelayer cat'!$B:$B,'Allow&amp;Disa Exp by Truelayer cat'!$C:$C)</f>
        <v>Allowable</v>
      </c>
      <c r="E718" s="116">
        <f>_xlfn.XLOOKUP(C718,'Allow&amp;Disa Exp by Truelayer cat'!$B:$B,'Allow&amp;Disa Exp by Truelayer cat'!$D:$D)</f>
        <v>0</v>
      </c>
      <c r="F718" t="str">
        <f>_xlfn.XLOOKUP(C718,'Allow&amp;Disa Exp by Truelayer cat'!$B:$B,'Allow&amp;Disa Exp by Truelayer cat'!$E:$E)</f>
        <v>Deduct from expenses</v>
      </c>
    </row>
    <row r="719" spans="1:6" x14ac:dyDescent="0.25">
      <c r="A719" t="s">
        <v>1656</v>
      </c>
      <c r="B719" t="s">
        <v>1669</v>
      </c>
      <c r="C719" t="s">
        <v>466</v>
      </c>
      <c r="D719" t="str">
        <f>_xlfn.XLOOKUP(C719,'Allow&amp;Disa Exp by Truelayer cat'!$B:$B,'Allow&amp;Disa Exp by Truelayer cat'!$C:$C)</f>
        <v>Allowable</v>
      </c>
      <c r="E719" s="116">
        <f>_xlfn.XLOOKUP(C719,'Allow&amp;Disa Exp by Truelayer cat'!$B:$B,'Allow&amp;Disa Exp by Truelayer cat'!$D:$D)</f>
        <v>0</v>
      </c>
      <c r="F719" t="str">
        <f>_xlfn.XLOOKUP(C719,'Allow&amp;Disa Exp by Truelayer cat'!$B:$B,'Allow&amp;Disa Exp by Truelayer cat'!$E:$E)</f>
        <v>Deduct from expenses</v>
      </c>
    </row>
    <row r="720" spans="1:6" x14ac:dyDescent="0.25">
      <c r="A720" t="s">
        <v>1656</v>
      </c>
      <c r="B720" t="s">
        <v>1670</v>
      </c>
      <c r="C720" t="s">
        <v>466</v>
      </c>
      <c r="D720" t="str">
        <f>_xlfn.XLOOKUP(C720,'Allow&amp;Disa Exp by Truelayer cat'!$B:$B,'Allow&amp;Disa Exp by Truelayer cat'!$C:$C)</f>
        <v>Allowable</v>
      </c>
      <c r="E720" s="116">
        <f>_xlfn.XLOOKUP(C720,'Allow&amp;Disa Exp by Truelayer cat'!$B:$B,'Allow&amp;Disa Exp by Truelayer cat'!$D:$D)</f>
        <v>0</v>
      </c>
      <c r="F720" t="str">
        <f>_xlfn.XLOOKUP(C720,'Allow&amp;Disa Exp by Truelayer cat'!$B:$B,'Allow&amp;Disa Exp by Truelayer cat'!$E:$E)</f>
        <v>Deduct from expenses</v>
      </c>
    </row>
    <row r="721" spans="1:6" x14ac:dyDescent="0.25">
      <c r="A721" t="s">
        <v>1656</v>
      </c>
      <c r="B721" t="s">
        <v>1671</v>
      </c>
      <c r="C721" t="s">
        <v>466</v>
      </c>
      <c r="D721" t="str">
        <f>_xlfn.XLOOKUP(C721,'Allow&amp;Disa Exp by Truelayer cat'!$B:$B,'Allow&amp;Disa Exp by Truelayer cat'!$C:$C)</f>
        <v>Allowable</v>
      </c>
      <c r="E721" s="116">
        <f>_xlfn.XLOOKUP(C721,'Allow&amp;Disa Exp by Truelayer cat'!$B:$B,'Allow&amp;Disa Exp by Truelayer cat'!$D:$D)</f>
        <v>0</v>
      </c>
      <c r="F721" t="str">
        <f>_xlfn.XLOOKUP(C721,'Allow&amp;Disa Exp by Truelayer cat'!$B:$B,'Allow&amp;Disa Exp by Truelayer cat'!$E:$E)</f>
        <v>Deduct from expenses</v>
      </c>
    </row>
    <row r="722" spans="1:6" x14ac:dyDescent="0.25">
      <c r="A722" t="s">
        <v>1656</v>
      </c>
      <c r="B722" t="s">
        <v>1672</v>
      </c>
      <c r="C722" t="s">
        <v>466</v>
      </c>
      <c r="D722" t="str">
        <f>_xlfn.XLOOKUP(C722,'Allow&amp;Disa Exp by Truelayer cat'!$B:$B,'Allow&amp;Disa Exp by Truelayer cat'!$C:$C)</f>
        <v>Allowable</v>
      </c>
      <c r="E722" s="116">
        <f>_xlfn.XLOOKUP(C722,'Allow&amp;Disa Exp by Truelayer cat'!$B:$B,'Allow&amp;Disa Exp by Truelayer cat'!$D:$D)</f>
        <v>0</v>
      </c>
      <c r="F722" t="str">
        <f>_xlfn.XLOOKUP(C722,'Allow&amp;Disa Exp by Truelayer cat'!$B:$B,'Allow&amp;Disa Exp by Truelayer cat'!$E:$E)</f>
        <v>Deduct from expenses</v>
      </c>
    </row>
    <row r="723" spans="1:6" x14ac:dyDescent="0.25">
      <c r="A723" t="s">
        <v>1656</v>
      </c>
      <c r="B723" t="s">
        <v>1673</v>
      </c>
      <c r="C723" t="s">
        <v>466</v>
      </c>
      <c r="D723" t="str">
        <f>_xlfn.XLOOKUP(C723,'Allow&amp;Disa Exp by Truelayer cat'!$B:$B,'Allow&amp;Disa Exp by Truelayer cat'!$C:$C)</f>
        <v>Allowable</v>
      </c>
      <c r="E723" s="116">
        <f>_xlfn.XLOOKUP(C723,'Allow&amp;Disa Exp by Truelayer cat'!$B:$B,'Allow&amp;Disa Exp by Truelayer cat'!$D:$D)</f>
        <v>0</v>
      </c>
      <c r="F723" t="str">
        <f>_xlfn.XLOOKUP(C723,'Allow&amp;Disa Exp by Truelayer cat'!$B:$B,'Allow&amp;Disa Exp by Truelayer cat'!$E:$E)</f>
        <v>Deduct from expenses</v>
      </c>
    </row>
    <row r="724" spans="1:6" x14ac:dyDescent="0.25">
      <c r="A724" t="s">
        <v>1674</v>
      </c>
      <c r="B724" t="s">
        <v>1675</v>
      </c>
      <c r="C724" t="s">
        <v>487</v>
      </c>
      <c r="D724" t="str">
        <f>_xlfn.XLOOKUP(C724,'Allow&amp;Disa Exp by Truelayer cat'!$B:$B,'Allow&amp;Disa Exp by Truelayer cat'!$C:$C)</f>
        <v>Allowable</v>
      </c>
      <c r="E724" s="116">
        <f>_xlfn.XLOOKUP(C724,'Allow&amp;Disa Exp by Truelayer cat'!$B:$B,'Allow&amp;Disa Exp by Truelayer cat'!$D:$D)</f>
        <v>0</v>
      </c>
      <c r="F724" t="str">
        <f>_xlfn.XLOOKUP(C724,'Allow&amp;Disa Exp by Truelayer cat'!$B:$B,'Allow&amp;Disa Exp by Truelayer cat'!$E:$E)</f>
        <v>Deduct from expenses</v>
      </c>
    </row>
    <row r="725" spans="1:6" x14ac:dyDescent="0.25">
      <c r="A725" t="s">
        <v>1674</v>
      </c>
      <c r="B725" t="s">
        <v>1676</v>
      </c>
      <c r="C725" t="s">
        <v>487</v>
      </c>
      <c r="D725" t="str">
        <f>_xlfn.XLOOKUP(C725,'Allow&amp;Disa Exp by Truelayer cat'!$B:$B,'Allow&amp;Disa Exp by Truelayer cat'!$C:$C)</f>
        <v>Allowable</v>
      </c>
      <c r="E725" s="116">
        <f>_xlfn.XLOOKUP(C725,'Allow&amp;Disa Exp by Truelayer cat'!$B:$B,'Allow&amp;Disa Exp by Truelayer cat'!$D:$D)</f>
        <v>0</v>
      </c>
      <c r="F725" t="str">
        <f>_xlfn.XLOOKUP(C725,'Allow&amp;Disa Exp by Truelayer cat'!$B:$B,'Allow&amp;Disa Exp by Truelayer cat'!$E:$E)</f>
        <v>Deduct from expenses</v>
      </c>
    </row>
    <row r="726" spans="1:6" x14ac:dyDescent="0.25">
      <c r="A726" t="s">
        <v>1674</v>
      </c>
      <c r="B726" t="s">
        <v>1677</v>
      </c>
      <c r="C726" t="s">
        <v>487</v>
      </c>
      <c r="D726" t="str">
        <f>_xlfn.XLOOKUP(C726,'Allow&amp;Disa Exp by Truelayer cat'!$B:$B,'Allow&amp;Disa Exp by Truelayer cat'!$C:$C)</f>
        <v>Allowable</v>
      </c>
      <c r="E726" s="116">
        <f>_xlfn.XLOOKUP(C726,'Allow&amp;Disa Exp by Truelayer cat'!$B:$B,'Allow&amp;Disa Exp by Truelayer cat'!$D:$D)</f>
        <v>0</v>
      </c>
      <c r="F726" t="str">
        <f>_xlfn.XLOOKUP(C726,'Allow&amp;Disa Exp by Truelayer cat'!$B:$B,'Allow&amp;Disa Exp by Truelayer cat'!$E:$E)</f>
        <v>Deduct from expenses</v>
      </c>
    </row>
    <row r="727" spans="1:6" x14ac:dyDescent="0.25">
      <c r="A727" t="s">
        <v>1674</v>
      </c>
      <c r="B727" t="s">
        <v>1678</v>
      </c>
      <c r="C727" t="s">
        <v>487</v>
      </c>
      <c r="D727" t="str">
        <f>_xlfn.XLOOKUP(C727,'Allow&amp;Disa Exp by Truelayer cat'!$B:$B,'Allow&amp;Disa Exp by Truelayer cat'!$C:$C)</f>
        <v>Allowable</v>
      </c>
      <c r="E727" s="116">
        <f>_xlfn.XLOOKUP(C727,'Allow&amp;Disa Exp by Truelayer cat'!$B:$B,'Allow&amp;Disa Exp by Truelayer cat'!$D:$D)</f>
        <v>0</v>
      </c>
      <c r="F727" t="str">
        <f>_xlfn.XLOOKUP(C727,'Allow&amp;Disa Exp by Truelayer cat'!$B:$B,'Allow&amp;Disa Exp by Truelayer cat'!$E:$E)</f>
        <v>Deduct from expenses</v>
      </c>
    </row>
    <row r="728" spans="1:6" x14ac:dyDescent="0.25">
      <c r="A728" t="s">
        <v>1674</v>
      </c>
      <c r="B728" t="s">
        <v>1679</v>
      </c>
      <c r="C728" t="s">
        <v>487</v>
      </c>
      <c r="D728" t="str">
        <f>_xlfn.XLOOKUP(C728,'Allow&amp;Disa Exp by Truelayer cat'!$B:$B,'Allow&amp;Disa Exp by Truelayer cat'!$C:$C)</f>
        <v>Allowable</v>
      </c>
      <c r="E728" s="116">
        <f>_xlfn.XLOOKUP(C728,'Allow&amp;Disa Exp by Truelayer cat'!$B:$B,'Allow&amp;Disa Exp by Truelayer cat'!$D:$D)</f>
        <v>0</v>
      </c>
      <c r="F728" t="str">
        <f>_xlfn.XLOOKUP(C728,'Allow&amp;Disa Exp by Truelayer cat'!$B:$B,'Allow&amp;Disa Exp by Truelayer cat'!$E:$E)</f>
        <v>Deduct from expenses</v>
      </c>
    </row>
    <row r="729" spans="1:6" x14ac:dyDescent="0.25">
      <c r="A729" t="s">
        <v>1674</v>
      </c>
      <c r="B729" t="s">
        <v>1680</v>
      </c>
      <c r="C729" t="s">
        <v>487</v>
      </c>
      <c r="D729" t="str">
        <f>_xlfn.XLOOKUP(C729,'Allow&amp;Disa Exp by Truelayer cat'!$B:$B,'Allow&amp;Disa Exp by Truelayer cat'!$C:$C)</f>
        <v>Allowable</v>
      </c>
      <c r="E729" s="116">
        <f>_xlfn.XLOOKUP(C729,'Allow&amp;Disa Exp by Truelayer cat'!$B:$B,'Allow&amp;Disa Exp by Truelayer cat'!$D:$D)</f>
        <v>0</v>
      </c>
      <c r="F729" t="str">
        <f>_xlfn.XLOOKUP(C729,'Allow&amp;Disa Exp by Truelayer cat'!$B:$B,'Allow&amp;Disa Exp by Truelayer cat'!$E:$E)</f>
        <v>Deduct from expenses</v>
      </c>
    </row>
    <row r="730" spans="1:6" x14ac:dyDescent="0.25">
      <c r="A730" t="s">
        <v>1674</v>
      </c>
      <c r="B730" t="s">
        <v>1681</v>
      </c>
      <c r="C730" t="s">
        <v>487</v>
      </c>
      <c r="D730" t="str">
        <f>_xlfn.XLOOKUP(C730,'Allow&amp;Disa Exp by Truelayer cat'!$B:$B,'Allow&amp;Disa Exp by Truelayer cat'!$C:$C)</f>
        <v>Allowable</v>
      </c>
      <c r="E730" s="116">
        <f>_xlfn.XLOOKUP(C730,'Allow&amp;Disa Exp by Truelayer cat'!$B:$B,'Allow&amp;Disa Exp by Truelayer cat'!$D:$D)</f>
        <v>0</v>
      </c>
      <c r="F730" t="str">
        <f>_xlfn.XLOOKUP(C730,'Allow&amp;Disa Exp by Truelayer cat'!$B:$B,'Allow&amp;Disa Exp by Truelayer cat'!$E:$E)</f>
        <v>Deduct from expenses</v>
      </c>
    </row>
    <row r="731" spans="1:6" x14ac:dyDescent="0.25">
      <c r="A731" t="s">
        <v>1674</v>
      </c>
      <c r="B731" t="s">
        <v>1682</v>
      </c>
      <c r="C731" t="s">
        <v>487</v>
      </c>
      <c r="D731" t="str">
        <f>_xlfn.XLOOKUP(C731,'Allow&amp;Disa Exp by Truelayer cat'!$B:$B,'Allow&amp;Disa Exp by Truelayer cat'!$C:$C)</f>
        <v>Allowable</v>
      </c>
      <c r="E731" s="116">
        <f>_xlfn.XLOOKUP(C731,'Allow&amp;Disa Exp by Truelayer cat'!$B:$B,'Allow&amp;Disa Exp by Truelayer cat'!$D:$D)</f>
        <v>0</v>
      </c>
      <c r="F731" t="str">
        <f>_xlfn.XLOOKUP(C731,'Allow&amp;Disa Exp by Truelayer cat'!$B:$B,'Allow&amp;Disa Exp by Truelayer cat'!$E:$E)</f>
        <v>Deduct from expenses</v>
      </c>
    </row>
    <row r="732" spans="1:6" x14ac:dyDescent="0.25">
      <c r="A732" t="s">
        <v>1674</v>
      </c>
      <c r="B732" t="s">
        <v>1254</v>
      </c>
      <c r="C732" t="s">
        <v>487</v>
      </c>
      <c r="D732" t="str">
        <f>_xlfn.XLOOKUP(C732,'Allow&amp;Disa Exp by Truelayer cat'!$B:$B,'Allow&amp;Disa Exp by Truelayer cat'!$C:$C)</f>
        <v>Allowable</v>
      </c>
      <c r="E732" s="116">
        <f>_xlfn.XLOOKUP(C732,'Allow&amp;Disa Exp by Truelayer cat'!$B:$B,'Allow&amp;Disa Exp by Truelayer cat'!$D:$D)</f>
        <v>0</v>
      </c>
      <c r="F732" t="str">
        <f>_xlfn.XLOOKUP(C732,'Allow&amp;Disa Exp by Truelayer cat'!$B:$B,'Allow&amp;Disa Exp by Truelayer cat'!$E:$E)</f>
        <v>Deduct from expenses</v>
      </c>
    </row>
    <row r="733" spans="1:6" x14ac:dyDescent="0.25">
      <c r="A733" t="s">
        <v>1674</v>
      </c>
      <c r="B733" t="s">
        <v>1683</v>
      </c>
      <c r="C733" t="s">
        <v>487</v>
      </c>
      <c r="D733" t="str">
        <f>_xlfn.XLOOKUP(C733,'Allow&amp;Disa Exp by Truelayer cat'!$B:$B,'Allow&amp;Disa Exp by Truelayer cat'!$C:$C)</f>
        <v>Allowable</v>
      </c>
      <c r="E733" s="116">
        <f>_xlfn.XLOOKUP(C733,'Allow&amp;Disa Exp by Truelayer cat'!$B:$B,'Allow&amp;Disa Exp by Truelayer cat'!$D:$D)</f>
        <v>0</v>
      </c>
      <c r="F733" t="str">
        <f>_xlfn.XLOOKUP(C733,'Allow&amp;Disa Exp by Truelayer cat'!$B:$B,'Allow&amp;Disa Exp by Truelayer cat'!$E:$E)</f>
        <v>Deduct from expenses</v>
      </c>
    </row>
    <row r="734" spans="1:6" x14ac:dyDescent="0.25">
      <c r="A734" t="s">
        <v>1674</v>
      </c>
      <c r="B734" t="s">
        <v>1684</v>
      </c>
      <c r="C734" t="s">
        <v>487</v>
      </c>
      <c r="D734" t="str">
        <f>_xlfn.XLOOKUP(C734,'Allow&amp;Disa Exp by Truelayer cat'!$B:$B,'Allow&amp;Disa Exp by Truelayer cat'!$C:$C)</f>
        <v>Allowable</v>
      </c>
      <c r="E734" s="116">
        <f>_xlfn.XLOOKUP(C734,'Allow&amp;Disa Exp by Truelayer cat'!$B:$B,'Allow&amp;Disa Exp by Truelayer cat'!$D:$D)</f>
        <v>0</v>
      </c>
      <c r="F734" t="str">
        <f>_xlfn.XLOOKUP(C734,'Allow&amp;Disa Exp by Truelayer cat'!$B:$B,'Allow&amp;Disa Exp by Truelayer cat'!$E:$E)</f>
        <v>Deduct from expenses</v>
      </c>
    </row>
    <row r="735" spans="1:6" x14ac:dyDescent="0.25">
      <c r="A735" t="s">
        <v>1674</v>
      </c>
      <c r="B735" t="s">
        <v>1685</v>
      </c>
      <c r="C735" t="s">
        <v>487</v>
      </c>
      <c r="D735" t="str">
        <f>_xlfn.XLOOKUP(C735,'Allow&amp;Disa Exp by Truelayer cat'!$B:$B,'Allow&amp;Disa Exp by Truelayer cat'!$C:$C)</f>
        <v>Allowable</v>
      </c>
      <c r="E735" s="116">
        <f>_xlfn.XLOOKUP(C735,'Allow&amp;Disa Exp by Truelayer cat'!$B:$B,'Allow&amp;Disa Exp by Truelayer cat'!$D:$D)</f>
        <v>0</v>
      </c>
      <c r="F735" t="str">
        <f>_xlfn.XLOOKUP(C735,'Allow&amp;Disa Exp by Truelayer cat'!$B:$B,'Allow&amp;Disa Exp by Truelayer cat'!$E:$E)</f>
        <v>Deduct from expenses</v>
      </c>
    </row>
    <row r="736" spans="1:6" x14ac:dyDescent="0.25">
      <c r="A736" t="s">
        <v>1674</v>
      </c>
      <c r="B736" t="s">
        <v>1686</v>
      </c>
      <c r="C736" t="s">
        <v>487</v>
      </c>
      <c r="D736" t="str">
        <f>_xlfn.XLOOKUP(C736,'Allow&amp;Disa Exp by Truelayer cat'!$B:$B,'Allow&amp;Disa Exp by Truelayer cat'!$C:$C)</f>
        <v>Allowable</v>
      </c>
      <c r="E736" s="116">
        <f>_xlfn.XLOOKUP(C736,'Allow&amp;Disa Exp by Truelayer cat'!$B:$B,'Allow&amp;Disa Exp by Truelayer cat'!$D:$D)</f>
        <v>0</v>
      </c>
      <c r="F736" t="str">
        <f>_xlfn.XLOOKUP(C736,'Allow&amp;Disa Exp by Truelayer cat'!$B:$B,'Allow&amp;Disa Exp by Truelayer cat'!$E:$E)</f>
        <v>Deduct from expenses</v>
      </c>
    </row>
    <row r="737" spans="1:6" x14ac:dyDescent="0.25">
      <c r="A737" t="s">
        <v>1674</v>
      </c>
      <c r="B737" t="s">
        <v>1687</v>
      </c>
      <c r="C737" t="s">
        <v>487</v>
      </c>
      <c r="D737" t="str">
        <f>_xlfn.XLOOKUP(C737,'Allow&amp;Disa Exp by Truelayer cat'!$B:$B,'Allow&amp;Disa Exp by Truelayer cat'!$C:$C)</f>
        <v>Allowable</v>
      </c>
      <c r="E737" s="116">
        <f>_xlfn.XLOOKUP(C737,'Allow&amp;Disa Exp by Truelayer cat'!$B:$B,'Allow&amp;Disa Exp by Truelayer cat'!$D:$D)</f>
        <v>0</v>
      </c>
      <c r="F737" t="str">
        <f>_xlfn.XLOOKUP(C737,'Allow&amp;Disa Exp by Truelayer cat'!$B:$B,'Allow&amp;Disa Exp by Truelayer cat'!$E:$E)</f>
        <v>Deduct from expenses</v>
      </c>
    </row>
    <row r="738" spans="1:6" x14ac:dyDescent="0.25">
      <c r="A738" t="s">
        <v>1674</v>
      </c>
      <c r="B738" t="s">
        <v>1688</v>
      </c>
      <c r="C738" t="s">
        <v>487</v>
      </c>
      <c r="D738" t="str">
        <f>_xlfn.XLOOKUP(C738,'Allow&amp;Disa Exp by Truelayer cat'!$B:$B,'Allow&amp;Disa Exp by Truelayer cat'!$C:$C)</f>
        <v>Allowable</v>
      </c>
      <c r="E738" s="116">
        <f>_xlfn.XLOOKUP(C738,'Allow&amp;Disa Exp by Truelayer cat'!$B:$B,'Allow&amp;Disa Exp by Truelayer cat'!$D:$D)</f>
        <v>0</v>
      </c>
      <c r="F738" t="str">
        <f>_xlfn.XLOOKUP(C738,'Allow&amp;Disa Exp by Truelayer cat'!$B:$B,'Allow&amp;Disa Exp by Truelayer cat'!$E:$E)</f>
        <v>Deduct from expenses</v>
      </c>
    </row>
    <row r="739" spans="1:6" x14ac:dyDescent="0.25">
      <c r="A739" t="s">
        <v>1674</v>
      </c>
      <c r="B739" t="s">
        <v>1689</v>
      </c>
      <c r="C739" t="s">
        <v>487</v>
      </c>
      <c r="D739" t="str">
        <f>_xlfn.XLOOKUP(C739,'Allow&amp;Disa Exp by Truelayer cat'!$B:$B,'Allow&amp;Disa Exp by Truelayer cat'!$C:$C)</f>
        <v>Allowable</v>
      </c>
      <c r="E739" s="116">
        <f>_xlfn.XLOOKUP(C739,'Allow&amp;Disa Exp by Truelayer cat'!$B:$B,'Allow&amp;Disa Exp by Truelayer cat'!$D:$D)</f>
        <v>0</v>
      </c>
      <c r="F739" t="str">
        <f>_xlfn.XLOOKUP(C739,'Allow&amp;Disa Exp by Truelayer cat'!$B:$B,'Allow&amp;Disa Exp by Truelayer cat'!$E:$E)</f>
        <v>Deduct from expenses</v>
      </c>
    </row>
    <row r="740" spans="1:6" x14ac:dyDescent="0.25">
      <c r="A740" t="s">
        <v>1674</v>
      </c>
      <c r="B740" t="s">
        <v>1690</v>
      </c>
      <c r="C740" t="s">
        <v>487</v>
      </c>
      <c r="D740" t="str">
        <f>_xlfn.XLOOKUP(C740,'Allow&amp;Disa Exp by Truelayer cat'!$B:$B,'Allow&amp;Disa Exp by Truelayer cat'!$C:$C)</f>
        <v>Allowable</v>
      </c>
      <c r="E740" s="116">
        <f>_xlfn.XLOOKUP(C740,'Allow&amp;Disa Exp by Truelayer cat'!$B:$B,'Allow&amp;Disa Exp by Truelayer cat'!$D:$D)</f>
        <v>0</v>
      </c>
      <c r="F740" t="str">
        <f>_xlfn.XLOOKUP(C740,'Allow&amp;Disa Exp by Truelayer cat'!$B:$B,'Allow&amp;Disa Exp by Truelayer cat'!$E:$E)</f>
        <v>Deduct from expenses</v>
      </c>
    </row>
    <row r="741" spans="1:6" x14ac:dyDescent="0.25">
      <c r="A741" t="s">
        <v>1674</v>
      </c>
      <c r="B741" t="s">
        <v>1691</v>
      </c>
      <c r="C741" t="s">
        <v>487</v>
      </c>
      <c r="D741" t="str">
        <f>_xlfn.XLOOKUP(C741,'Allow&amp;Disa Exp by Truelayer cat'!$B:$B,'Allow&amp;Disa Exp by Truelayer cat'!$C:$C)</f>
        <v>Allowable</v>
      </c>
      <c r="E741" s="116">
        <f>_xlfn.XLOOKUP(C741,'Allow&amp;Disa Exp by Truelayer cat'!$B:$B,'Allow&amp;Disa Exp by Truelayer cat'!$D:$D)</f>
        <v>0</v>
      </c>
      <c r="F741" t="str">
        <f>_xlfn.XLOOKUP(C741,'Allow&amp;Disa Exp by Truelayer cat'!$B:$B,'Allow&amp;Disa Exp by Truelayer cat'!$E:$E)</f>
        <v>Deduct from expenses</v>
      </c>
    </row>
    <row r="742" spans="1:6" x14ac:dyDescent="0.25">
      <c r="A742" t="s">
        <v>1674</v>
      </c>
      <c r="B742" t="s">
        <v>1692</v>
      </c>
      <c r="C742" t="s">
        <v>487</v>
      </c>
      <c r="D742" t="str">
        <f>_xlfn.XLOOKUP(C742,'Allow&amp;Disa Exp by Truelayer cat'!$B:$B,'Allow&amp;Disa Exp by Truelayer cat'!$C:$C)</f>
        <v>Allowable</v>
      </c>
      <c r="E742" s="116">
        <f>_xlfn.XLOOKUP(C742,'Allow&amp;Disa Exp by Truelayer cat'!$B:$B,'Allow&amp;Disa Exp by Truelayer cat'!$D:$D)</f>
        <v>0</v>
      </c>
      <c r="F742" t="str">
        <f>_xlfn.XLOOKUP(C742,'Allow&amp;Disa Exp by Truelayer cat'!$B:$B,'Allow&amp;Disa Exp by Truelayer cat'!$E:$E)</f>
        <v>Deduct from expenses</v>
      </c>
    </row>
    <row r="743" spans="1:6" x14ac:dyDescent="0.25">
      <c r="A743" t="s">
        <v>1674</v>
      </c>
      <c r="B743" t="s">
        <v>1693</v>
      </c>
      <c r="C743" t="s">
        <v>487</v>
      </c>
      <c r="D743" t="str">
        <f>_xlfn.XLOOKUP(C743,'Allow&amp;Disa Exp by Truelayer cat'!$B:$B,'Allow&amp;Disa Exp by Truelayer cat'!$C:$C)</f>
        <v>Allowable</v>
      </c>
      <c r="E743" s="116">
        <f>_xlfn.XLOOKUP(C743,'Allow&amp;Disa Exp by Truelayer cat'!$B:$B,'Allow&amp;Disa Exp by Truelayer cat'!$D:$D)</f>
        <v>0</v>
      </c>
      <c r="F743" t="str">
        <f>_xlfn.XLOOKUP(C743,'Allow&amp;Disa Exp by Truelayer cat'!$B:$B,'Allow&amp;Disa Exp by Truelayer cat'!$E:$E)</f>
        <v>Deduct from expenses</v>
      </c>
    </row>
    <row r="744" spans="1:6" x14ac:dyDescent="0.25">
      <c r="A744" t="s">
        <v>1674</v>
      </c>
      <c r="B744" t="s">
        <v>1694</v>
      </c>
      <c r="C744" t="s">
        <v>487</v>
      </c>
      <c r="D744" t="str">
        <f>_xlfn.XLOOKUP(C744,'Allow&amp;Disa Exp by Truelayer cat'!$B:$B,'Allow&amp;Disa Exp by Truelayer cat'!$C:$C)</f>
        <v>Allowable</v>
      </c>
      <c r="E744" s="116">
        <f>_xlfn.XLOOKUP(C744,'Allow&amp;Disa Exp by Truelayer cat'!$B:$B,'Allow&amp;Disa Exp by Truelayer cat'!$D:$D)</f>
        <v>0</v>
      </c>
      <c r="F744" t="str">
        <f>_xlfn.XLOOKUP(C744,'Allow&amp;Disa Exp by Truelayer cat'!$B:$B,'Allow&amp;Disa Exp by Truelayer cat'!$E:$E)</f>
        <v>Deduct from expenses</v>
      </c>
    </row>
    <row r="745" spans="1:6" x14ac:dyDescent="0.25">
      <c r="A745" t="s">
        <v>1674</v>
      </c>
      <c r="B745" t="s">
        <v>1695</v>
      </c>
      <c r="C745" t="s">
        <v>487</v>
      </c>
      <c r="D745" t="str">
        <f>_xlfn.XLOOKUP(C745,'Allow&amp;Disa Exp by Truelayer cat'!$B:$B,'Allow&amp;Disa Exp by Truelayer cat'!$C:$C)</f>
        <v>Allowable</v>
      </c>
      <c r="E745" s="116">
        <f>_xlfn.XLOOKUP(C745,'Allow&amp;Disa Exp by Truelayer cat'!$B:$B,'Allow&amp;Disa Exp by Truelayer cat'!$D:$D)</f>
        <v>0</v>
      </c>
      <c r="F745" t="str">
        <f>_xlfn.XLOOKUP(C745,'Allow&amp;Disa Exp by Truelayer cat'!$B:$B,'Allow&amp;Disa Exp by Truelayer cat'!$E:$E)</f>
        <v>Deduct from expenses</v>
      </c>
    </row>
    <row r="746" spans="1:6" x14ac:dyDescent="0.25">
      <c r="A746" t="s">
        <v>1674</v>
      </c>
      <c r="B746" t="s">
        <v>1696</v>
      </c>
      <c r="C746" t="s">
        <v>487</v>
      </c>
      <c r="D746" t="str">
        <f>_xlfn.XLOOKUP(C746,'Allow&amp;Disa Exp by Truelayer cat'!$B:$B,'Allow&amp;Disa Exp by Truelayer cat'!$C:$C)</f>
        <v>Allowable</v>
      </c>
      <c r="E746" s="116">
        <f>_xlfn.XLOOKUP(C746,'Allow&amp;Disa Exp by Truelayer cat'!$B:$B,'Allow&amp;Disa Exp by Truelayer cat'!$D:$D)</f>
        <v>0</v>
      </c>
      <c r="F746" t="str">
        <f>_xlfn.XLOOKUP(C746,'Allow&amp;Disa Exp by Truelayer cat'!$B:$B,'Allow&amp;Disa Exp by Truelayer cat'!$E:$E)</f>
        <v>Deduct from expenses</v>
      </c>
    </row>
    <row r="747" spans="1:6" x14ac:dyDescent="0.25">
      <c r="A747" t="s">
        <v>1674</v>
      </c>
      <c r="B747" t="s">
        <v>1697</v>
      </c>
      <c r="C747" t="s">
        <v>487</v>
      </c>
      <c r="D747" t="str">
        <f>_xlfn.XLOOKUP(C747,'Allow&amp;Disa Exp by Truelayer cat'!$B:$B,'Allow&amp;Disa Exp by Truelayer cat'!$C:$C)</f>
        <v>Allowable</v>
      </c>
      <c r="E747" s="116">
        <f>_xlfn.XLOOKUP(C747,'Allow&amp;Disa Exp by Truelayer cat'!$B:$B,'Allow&amp;Disa Exp by Truelayer cat'!$D:$D)</f>
        <v>0</v>
      </c>
      <c r="F747" t="str">
        <f>_xlfn.XLOOKUP(C747,'Allow&amp;Disa Exp by Truelayer cat'!$B:$B,'Allow&amp;Disa Exp by Truelayer cat'!$E:$E)</f>
        <v>Deduct from expenses</v>
      </c>
    </row>
    <row r="748" spans="1:6" x14ac:dyDescent="0.25">
      <c r="A748" t="s">
        <v>1674</v>
      </c>
      <c r="B748" t="s">
        <v>1698</v>
      </c>
      <c r="C748" t="s">
        <v>487</v>
      </c>
      <c r="D748" t="str">
        <f>_xlfn.XLOOKUP(C748,'Allow&amp;Disa Exp by Truelayer cat'!$B:$B,'Allow&amp;Disa Exp by Truelayer cat'!$C:$C)</f>
        <v>Allowable</v>
      </c>
      <c r="E748" s="116">
        <f>_xlfn.XLOOKUP(C748,'Allow&amp;Disa Exp by Truelayer cat'!$B:$B,'Allow&amp;Disa Exp by Truelayer cat'!$D:$D)</f>
        <v>0</v>
      </c>
      <c r="F748" t="str">
        <f>_xlfn.XLOOKUP(C748,'Allow&amp;Disa Exp by Truelayer cat'!$B:$B,'Allow&amp;Disa Exp by Truelayer cat'!$E:$E)</f>
        <v>Deduct from expenses</v>
      </c>
    </row>
    <row r="749" spans="1:6" x14ac:dyDescent="0.25">
      <c r="A749" t="s">
        <v>1674</v>
      </c>
      <c r="B749" t="s">
        <v>1699</v>
      </c>
      <c r="C749" t="s">
        <v>487</v>
      </c>
      <c r="D749" t="str">
        <f>_xlfn.XLOOKUP(C749,'Allow&amp;Disa Exp by Truelayer cat'!$B:$B,'Allow&amp;Disa Exp by Truelayer cat'!$C:$C)</f>
        <v>Allowable</v>
      </c>
      <c r="E749" s="116">
        <f>_xlfn.XLOOKUP(C749,'Allow&amp;Disa Exp by Truelayer cat'!$B:$B,'Allow&amp;Disa Exp by Truelayer cat'!$D:$D)</f>
        <v>0</v>
      </c>
      <c r="F749" t="str">
        <f>_xlfn.XLOOKUP(C749,'Allow&amp;Disa Exp by Truelayer cat'!$B:$B,'Allow&amp;Disa Exp by Truelayer cat'!$E:$E)</f>
        <v>Deduct from expenses</v>
      </c>
    </row>
    <row r="750" spans="1:6" x14ac:dyDescent="0.25">
      <c r="A750" t="s">
        <v>1700</v>
      </c>
      <c r="B750" t="s">
        <v>1701</v>
      </c>
      <c r="C750" t="s">
        <v>412</v>
      </c>
      <c r="D750" t="str">
        <f>_xlfn.XLOOKUP(C750,'Allow&amp;Disa Exp by Truelayer cat'!$B:$B,'Allow&amp;Disa Exp by Truelayer cat'!$C:$C)</f>
        <v>Disallowable</v>
      </c>
      <c r="E750" s="116">
        <f>_xlfn.XLOOKUP(C750,'Allow&amp;Disa Exp by Truelayer cat'!$B:$B,'Allow&amp;Disa Exp by Truelayer cat'!$D:$D)</f>
        <v>0</v>
      </c>
      <c r="F750" t="str">
        <f>_xlfn.XLOOKUP(C750,'Allow&amp;Disa Exp by Truelayer cat'!$B:$B,'Allow&amp;Disa Exp by Truelayer cat'!$E:$E)</f>
        <v>Add back to income</v>
      </c>
    </row>
    <row r="751" spans="1:6" x14ac:dyDescent="0.25">
      <c r="A751" t="s">
        <v>1700</v>
      </c>
      <c r="B751" t="s">
        <v>1702</v>
      </c>
      <c r="C751" t="s">
        <v>412</v>
      </c>
      <c r="D751" t="str">
        <f>_xlfn.XLOOKUP(C751,'Allow&amp;Disa Exp by Truelayer cat'!$B:$B,'Allow&amp;Disa Exp by Truelayer cat'!$C:$C)</f>
        <v>Disallowable</v>
      </c>
      <c r="E751" s="116">
        <f>_xlfn.XLOOKUP(C751,'Allow&amp;Disa Exp by Truelayer cat'!$B:$B,'Allow&amp;Disa Exp by Truelayer cat'!$D:$D)</f>
        <v>0</v>
      </c>
      <c r="F751" t="str">
        <f>_xlfn.XLOOKUP(C751,'Allow&amp;Disa Exp by Truelayer cat'!$B:$B,'Allow&amp;Disa Exp by Truelayer cat'!$E:$E)</f>
        <v>Add back to income</v>
      </c>
    </row>
    <row r="752" spans="1:6" x14ac:dyDescent="0.25">
      <c r="A752" t="s">
        <v>1700</v>
      </c>
      <c r="B752" t="s">
        <v>1703</v>
      </c>
      <c r="C752" t="s">
        <v>412</v>
      </c>
      <c r="D752" t="str">
        <f>_xlfn.XLOOKUP(C752,'Allow&amp;Disa Exp by Truelayer cat'!$B:$B,'Allow&amp;Disa Exp by Truelayer cat'!$C:$C)</f>
        <v>Disallowable</v>
      </c>
      <c r="E752" s="116">
        <f>_xlfn.XLOOKUP(C752,'Allow&amp;Disa Exp by Truelayer cat'!$B:$B,'Allow&amp;Disa Exp by Truelayer cat'!$D:$D)</f>
        <v>0</v>
      </c>
      <c r="F752" t="str">
        <f>_xlfn.XLOOKUP(C752,'Allow&amp;Disa Exp by Truelayer cat'!$B:$B,'Allow&amp;Disa Exp by Truelayer cat'!$E:$E)</f>
        <v>Add back to income</v>
      </c>
    </row>
    <row r="753" spans="1:6" x14ac:dyDescent="0.25">
      <c r="A753" t="s">
        <v>1700</v>
      </c>
      <c r="B753" t="s">
        <v>1704</v>
      </c>
      <c r="C753" t="s">
        <v>412</v>
      </c>
      <c r="D753" t="str">
        <f>_xlfn.XLOOKUP(C753,'Allow&amp;Disa Exp by Truelayer cat'!$B:$B,'Allow&amp;Disa Exp by Truelayer cat'!$C:$C)</f>
        <v>Disallowable</v>
      </c>
      <c r="E753" s="116">
        <f>_xlfn.XLOOKUP(C753,'Allow&amp;Disa Exp by Truelayer cat'!$B:$B,'Allow&amp;Disa Exp by Truelayer cat'!$D:$D)</f>
        <v>0</v>
      </c>
      <c r="F753" t="str">
        <f>_xlfn.XLOOKUP(C753,'Allow&amp;Disa Exp by Truelayer cat'!$B:$B,'Allow&amp;Disa Exp by Truelayer cat'!$E:$E)</f>
        <v>Add back to income</v>
      </c>
    </row>
    <row r="754" spans="1:6" x14ac:dyDescent="0.25">
      <c r="A754" t="s">
        <v>1700</v>
      </c>
      <c r="B754" t="s">
        <v>1705</v>
      </c>
      <c r="C754" t="s">
        <v>412</v>
      </c>
      <c r="D754" t="str">
        <f>_xlfn.XLOOKUP(C754,'Allow&amp;Disa Exp by Truelayer cat'!$B:$B,'Allow&amp;Disa Exp by Truelayer cat'!$C:$C)</f>
        <v>Disallowable</v>
      </c>
      <c r="E754" s="116">
        <f>_xlfn.XLOOKUP(C754,'Allow&amp;Disa Exp by Truelayer cat'!$B:$B,'Allow&amp;Disa Exp by Truelayer cat'!$D:$D)</f>
        <v>0</v>
      </c>
      <c r="F754" t="str">
        <f>_xlfn.XLOOKUP(C754,'Allow&amp;Disa Exp by Truelayer cat'!$B:$B,'Allow&amp;Disa Exp by Truelayer cat'!$E:$E)</f>
        <v>Add back to income</v>
      </c>
    </row>
    <row r="755" spans="1:6" x14ac:dyDescent="0.25">
      <c r="A755" t="s">
        <v>1700</v>
      </c>
      <c r="B755" t="s">
        <v>1706</v>
      </c>
      <c r="C755" t="s">
        <v>412</v>
      </c>
      <c r="D755" t="str">
        <f>_xlfn.XLOOKUP(C755,'Allow&amp;Disa Exp by Truelayer cat'!$B:$B,'Allow&amp;Disa Exp by Truelayer cat'!$C:$C)</f>
        <v>Disallowable</v>
      </c>
      <c r="E755" s="116">
        <f>_xlfn.XLOOKUP(C755,'Allow&amp;Disa Exp by Truelayer cat'!$B:$B,'Allow&amp;Disa Exp by Truelayer cat'!$D:$D)</f>
        <v>0</v>
      </c>
      <c r="F755" t="str">
        <f>_xlfn.XLOOKUP(C755,'Allow&amp;Disa Exp by Truelayer cat'!$B:$B,'Allow&amp;Disa Exp by Truelayer cat'!$E:$E)</f>
        <v>Add back to income</v>
      </c>
    </row>
    <row r="756" spans="1:6" x14ac:dyDescent="0.25">
      <c r="A756" t="s">
        <v>1700</v>
      </c>
      <c r="B756" t="s">
        <v>1707</v>
      </c>
      <c r="C756" t="s">
        <v>412</v>
      </c>
      <c r="D756" t="str">
        <f>_xlfn.XLOOKUP(C756,'Allow&amp;Disa Exp by Truelayer cat'!$B:$B,'Allow&amp;Disa Exp by Truelayer cat'!$C:$C)</f>
        <v>Disallowable</v>
      </c>
      <c r="E756" s="116">
        <f>_xlfn.XLOOKUP(C756,'Allow&amp;Disa Exp by Truelayer cat'!$B:$B,'Allow&amp;Disa Exp by Truelayer cat'!$D:$D)</f>
        <v>0</v>
      </c>
      <c r="F756" t="str">
        <f>_xlfn.XLOOKUP(C756,'Allow&amp;Disa Exp by Truelayer cat'!$B:$B,'Allow&amp;Disa Exp by Truelayer cat'!$E:$E)</f>
        <v>Add back to income</v>
      </c>
    </row>
    <row r="757" spans="1:6" x14ac:dyDescent="0.25">
      <c r="A757" t="s">
        <v>1700</v>
      </c>
      <c r="B757" t="s">
        <v>1708</v>
      </c>
      <c r="C757" t="s">
        <v>412</v>
      </c>
      <c r="D757" t="str">
        <f>_xlfn.XLOOKUP(C757,'Allow&amp;Disa Exp by Truelayer cat'!$B:$B,'Allow&amp;Disa Exp by Truelayer cat'!$C:$C)</f>
        <v>Disallowable</v>
      </c>
      <c r="E757" s="116">
        <f>_xlfn.XLOOKUP(C757,'Allow&amp;Disa Exp by Truelayer cat'!$B:$B,'Allow&amp;Disa Exp by Truelayer cat'!$D:$D)</f>
        <v>0</v>
      </c>
      <c r="F757" t="str">
        <f>_xlfn.XLOOKUP(C757,'Allow&amp;Disa Exp by Truelayer cat'!$B:$B,'Allow&amp;Disa Exp by Truelayer cat'!$E:$E)</f>
        <v>Add back to income</v>
      </c>
    </row>
    <row r="758" spans="1:6" x14ac:dyDescent="0.25">
      <c r="A758" t="s">
        <v>1700</v>
      </c>
      <c r="B758" t="s">
        <v>1709</v>
      </c>
      <c r="C758" t="s">
        <v>412</v>
      </c>
      <c r="D758" t="str">
        <f>_xlfn.XLOOKUP(C758,'Allow&amp;Disa Exp by Truelayer cat'!$B:$B,'Allow&amp;Disa Exp by Truelayer cat'!$C:$C)</f>
        <v>Disallowable</v>
      </c>
      <c r="E758" s="116">
        <f>_xlfn.XLOOKUP(C758,'Allow&amp;Disa Exp by Truelayer cat'!$B:$B,'Allow&amp;Disa Exp by Truelayer cat'!$D:$D)</f>
        <v>0</v>
      </c>
      <c r="F758" t="str">
        <f>_xlfn.XLOOKUP(C758,'Allow&amp;Disa Exp by Truelayer cat'!$B:$B,'Allow&amp;Disa Exp by Truelayer cat'!$E:$E)</f>
        <v>Add back to income</v>
      </c>
    </row>
    <row r="759" spans="1:6" x14ac:dyDescent="0.25">
      <c r="A759" t="s">
        <v>1710</v>
      </c>
      <c r="B759" t="s">
        <v>1711</v>
      </c>
      <c r="C759" t="s">
        <v>433</v>
      </c>
      <c r="D759" t="str">
        <f>_xlfn.XLOOKUP(C759,'Allow&amp;Disa Exp by Truelayer cat'!$B:$B,'Allow&amp;Disa Exp by Truelayer cat'!$C:$C)</f>
        <v>Disallowable</v>
      </c>
      <c r="E759" s="116">
        <f>_xlfn.XLOOKUP(C759,'Allow&amp;Disa Exp by Truelayer cat'!$B:$B,'Allow&amp;Disa Exp by Truelayer cat'!$D:$D)</f>
        <v>0</v>
      </c>
      <c r="F759" t="str">
        <f>_xlfn.XLOOKUP(C759,'Allow&amp;Disa Exp by Truelayer cat'!$B:$B,'Allow&amp;Disa Exp by Truelayer cat'!$E:$E)</f>
        <v>Add back to income</v>
      </c>
    </row>
    <row r="760" spans="1:6" x14ac:dyDescent="0.25">
      <c r="A760" t="s">
        <v>1710</v>
      </c>
      <c r="B760" t="s">
        <v>1712</v>
      </c>
      <c r="C760" t="s">
        <v>433</v>
      </c>
      <c r="D760" t="str">
        <f>_xlfn.XLOOKUP(C760,'Allow&amp;Disa Exp by Truelayer cat'!$B:$B,'Allow&amp;Disa Exp by Truelayer cat'!$C:$C)</f>
        <v>Disallowable</v>
      </c>
      <c r="E760" s="116">
        <f>_xlfn.XLOOKUP(C760,'Allow&amp;Disa Exp by Truelayer cat'!$B:$B,'Allow&amp;Disa Exp by Truelayer cat'!$D:$D)</f>
        <v>0</v>
      </c>
      <c r="F760" t="str">
        <f>_xlfn.XLOOKUP(C760,'Allow&amp;Disa Exp by Truelayer cat'!$B:$B,'Allow&amp;Disa Exp by Truelayer cat'!$E:$E)</f>
        <v>Add back to income</v>
      </c>
    </row>
    <row r="761" spans="1:6" x14ac:dyDescent="0.25">
      <c r="A761" t="s">
        <v>1710</v>
      </c>
      <c r="B761" t="s">
        <v>1713</v>
      </c>
      <c r="C761" t="s">
        <v>412</v>
      </c>
      <c r="D761" t="str">
        <f>_xlfn.XLOOKUP(C761,'Allow&amp;Disa Exp by Truelayer cat'!$B:$B,'Allow&amp;Disa Exp by Truelayer cat'!$C:$C)</f>
        <v>Disallowable</v>
      </c>
      <c r="E761" s="116">
        <f>_xlfn.XLOOKUP(C761,'Allow&amp;Disa Exp by Truelayer cat'!$B:$B,'Allow&amp;Disa Exp by Truelayer cat'!$D:$D)</f>
        <v>0</v>
      </c>
      <c r="F761" t="str">
        <f>_xlfn.XLOOKUP(C761,'Allow&amp;Disa Exp by Truelayer cat'!$B:$B,'Allow&amp;Disa Exp by Truelayer cat'!$E:$E)</f>
        <v>Add back to income</v>
      </c>
    </row>
    <row r="762" spans="1:6" ht="75" x14ac:dyDescent="0.25">
      <c r="A762" t="s">
        <v>1710</v>
      </c>
      <c r="B762" t="s">
        <v>1714</v>
      </c>
      <c r="C762" t="s">
        <v>376</v>
      </c>
      <c r="D762" t="str">
        <f>_xlfn.XLOOKUP(C762,'Allow&amp;Disa Exp by Truelayer cat'!$B:$B,'Allow&amp;Disa Exp by Truelayer cat'!$C:$C)</f>
        <v>Review</v>
      </c>
      <c r="E762" s="116" t="str">
        <f>_xlfn.XLOOKUP(C762,'Allow&amp;Disa Exp by Truelayer cat'!$B:$B,'Allow&amp;Disa Exp by Truelayer cat'!$D:$D)</f>
        <v>"Oh! Im not sure what this may be. Help me with this and I sure won't forget the next time" (Then give listing of what is shown in this list, and then ask if this is for trade.)</v>
      </c>
      <c r="F762" t="str">
        <f>_xlfn.XLOOKUP(C762,'Allow&amp;Disa Exp by Truelayer cat'!$B:$B,'Allow&amp;Disa Exp by Truelayer cat'!$E:$E)</f>
        <v xml:space="preserve"> If not for trade, then disallow and add back to income. - Prompt user to add receipt for VAT or just evidence</v>
      </c>
    </row>
    <row r="763" spans="1:6" ht="30" x14ac:dyDescent="0.25">
      <c r="A763" t="s">
        <v>1710</v>
      </c>
      <c r="B763" t="s">
        <v>1715</v>
      </c>
      <c r="C763" t="s">
        <v>460</v>
      </c>
      <c r="D763" t="str">
        <f>_xlfn.XLOOKUP(C763,'Allow&amp;Disa Exp by Truelayer cat'!$B:$B,'Allow&amp;Disa Exp by Truelayer cat'!$C:$C)</f>
        <v>Review</v>
      </c>
      <c r="E763" s="116" t="str">
        <f>_xlfn.XLOOKUP(C763,'Allow&amp;Disa Exp by Truelayer cat'!$B:$B,'Allow&amp;Disa Exp by Truelayer cat'!$D:$D)</f>
        <v>"Was this purchase for trade purposes?"</v>
      </c>
      <c r="F763" t="str">
        <f>_xlfn.XLOOKUP(C763,'Allow&amp;Disa Exp by Truelayer cat'!$B:$B,'Allow&amp;Disa Exp by Truelayer cat'!$E:$E)</f>
        <v xml:space="preserve"> If not for trade, then disallow and add back to income. - Prompt user to add receipt for VAT or just evidence</v>
      </c>
    </row>
    <row r="764" spans="1:6" ht="60" x14ac:dyDescent="0.25">
      <c r="A764" t="s">
        <v>1710</v>
      </c>
      <c r="B764" t="s">
        <v>1716</v>
      </c>
      <c r="C764" t="s">
        <v>423</v>
      </c>
      <c r="D764" t="str">
        <f>_xlfn.XLOOKUP(C764,'Allow&amp;Disa Exp by Truelayer cat'!$B:$B,'Allow&amp;Disa Exp by Truelayer cat'!$C:$C)</f>
        <v>Review</v>
      </c>
      <c r="E764" s="116" t="str">
        <f>_xlfn.XLOOKUP(C764,'Allow&amp;Disa Exp by Truelayer cat'!$B:$B,'Allow&amp;Disa Exp by Truelayer cat'!$D:$D)</f>
        <v>"We see you've bought some groceries! Was this grocery haul fuel for your business….or just dinner?"</v>
      </c>
      <c r="F764" t="str">
        <f>_xlfn.XLOOKUP(C764,'Allow&amp;Disa Exp by Truelayer cat'!$B:$B,'Allow&amp;Disa Exp by Truelayer cat'!$E:$E)</f>
        <v xml:space="preserve"> If not for trade, then disallow and add back to income. - Prompt user to add receipt for VAT or just evidence</v>
      </c>
    </row>
    <row r="765" spans="1:6" ht="30" x14ac:dyDescent="0.25">
      <c r="A765" t="s">
        <v>1710</v>
      </c>
      <c r="B765" t="s">
        <v>1717</v>
      </c>
      <c r="C765" t="s">
        <v>413</v>
      </c>
      <c r="D765" t="str">
        <f>_xlfn.XLOOKUP(C765,'Allow&amp;Disa Exp by Truelayer cat'!$B:$B,'Allow&amp;Disa Exp by Truelayer cat'!$C:$C)</f>
        <v>Review</v>
      </c>
      <c r="E765" s="116" t="str">
        <f>_xlfn.XLOOKUP(C765,'Allow&amp;Disa Exp by Truelayer cat'!$B:$B,'Allow&amp;Disa Exp by Truelayer cat'!$D:$D)</f>
        <v>"Was this purchase for trade purposes?"</v>
      </c>
      <c r="F765" t="str">
        <f>_xlfn.XLOOKUP(C765,'Allow&amp;Disa Exp by Truelayer cat'!$B:$B,'Allow&amp;Disa Exp by Truelayer cat'!$E:$E)</f>
        <v xml:space="preserve"> If not for trade, then disallow and add back to income. - Prompt user to add receipt for VAT or just evidence</v>
      </c>
    </row>
    <row r="766" spans="1:6" x14ac:dyDescent="0.25">
      <c r="A766" t="s">
        <v>1710</v>
      </c>
      <c r="B766" t="s">
        <v>1718</v>
      </c>
      <c r="C766" t="s">
        <v>427</v>
      </c>
      <c r="D766" t="str">
        <f>_xlfn.XLOOKUP(C766,'Allow&amp;Disa Exp by Truelayer cat'!$B:$B,'Allow&amp;Disa Exp by Truelayer cat'!$C:$C)</f>
        <v>Allowable if under £500</v>
      </c>
      <c r="E766" s="116">
        <f>_xlfn.XLOOKUP(C766,'Allow&amp;Disa Exp by Truelayer cat'!$B:$B,'Allow&amp;Disa Exp by Truelayer cat'!$D:$D)</f>
        <v>0</v>
      </c>
      <c r="F766" t="str">
        <f>_xlfn.XLOOKUP(C766,'Allow&amp;Disa Exp by Truelayer cat'!$B:$B,'Allow&amp;Disa Exp by Truelayer cat'!$E:$E)</f>
        <v>Deduct from expenses if under £500</v>
      </c>
    </row>
    <row r="767" spans="1:6" x14ac:dyDescent="0.25">
      <c r="A767" t="s">
        <v>1710</v>
      </c>
      <c r="B767" t="s">
        <v>1719</v>
      </c>
      <c r="C767" t="s">
        <v>427</v>
      </c>
      <c r="D767" t="str">
        <f>_xlfn.XLOOKUP(C767,'Allow&amp;Disa Exp by Truelayer cat'!$B:$B,'Allow&amp;Disa Exp by Truelayer cat'!$C:$C)</f>
        <v>Allowable if under £500</v>
      </c>
      <c r="E767" s="116">
        <f>_xlfn.XLOOKUP(C767,'Allow&amp;Disa Exp by Truelayer cat'!$B:$B,'Allow&amp;Disa Exp by Truelayer cat'!$D:$D)</f>
        <v>0</v>
      </c>
      <c r="F767" t="str">
        <f>_xlfn.XLOOKUP(C767,'Allow&amp;Disa Exp by Truelayer cat'!$B:$B,'Allow&amp;Disa Exp by Truelayer cat'!$E:$E)</f>
        <v>Deduct from expenses if under £500</v>
      </c>
    </row>
    <row r="768" spans="1:6" x14ac:dyDescent="0.25">
      <c r="A768" t="s">
        <v>1710</v>
      </c>
      <c r="B768" t="s">
        <v>1720</v>
      </c>
      <c r="C768" t="s">
        <v>428</v>
      </c>
      <c r="D768" t="str">
        <f>_xlfn.XLOOKUP(C768,'Allow&amp;Disa Exp by Truelayer cat'!$B:$B,'Allow&amp;Disa Exp by Truelayer cat'!$C:$C)</f>
        <v>Disallowable</v>
      </c>
      <c r="E768" s="116">
        <f>_xlfn.XLOOKUP(C768,'Allow&amp;Disa Exp by Truelayer cat'!$B:$B,'Allow&amp;Disa Exp by Truelayer cat'!$D:$D)</f>
        <v>0</v>
      </c>
      <c r="F768" t="str">
        <f>_xlfn.XLOOKUP(C768,'Allow&amp;Disa Exp by Truelayer cat'!$B:$B,'Allow&amp;Disa Exp by Truelayer cat'!$E:$E)</f>
        <v>Add back to income</v>
      </c>
    </row>
    <row r="769" spans="1:6" ht="75" x14ac:dyDescent="0.25">
      <c r="A769" t="s">
        <v>1710</v>
      </c>
      <c r="B769" t="s">
        <v>1721</v>
      </c>
      <c r="C769" t="s">
        <v>376</v>
      </c>
      <c r="D769" t="str">
        <f>_xlfn.XLOOKUP(C769,'Allow&amp;Disa Exp by Truelayer cat'!$B:$B,'Allow&amp;Disa Exp by Truelayer cat'!$C:$C)</f>
        <v>Review</v>
      </c>
      <c r="E769" s="116" t="str">
        <f>_xlfn.XLOOKUP(C769,'Allow&amp;Disa Exp by Truelayer cat'!$B:$B,'Allow&amp;Disa Exp by Truelayer cat'!$D:$D)</f>
        <v>"Oh! Im not sure what this may be. Help me with this and I sure won't forget the next time" (Then give listing of what is shown in this list, and then ask if this is for trade.)</v>
      </c>
      <c r="F769" t="str">
        <f>_xlfn.XLOOKUP(C769,'Allow&amp;Disa Exp by Truelayer cat'!$B:$B,'Allow&amp;Disa Exp by Truelayer cat'!$E:$E)</f>
        <v xml:space="preserve"> If not for trade, then disallow and add back to income. - Prompt user to add receipt for VAT or just evidence</v>
      </c>
    </row>
    <row r="770" spans="1:6" ht="30" x14ac:dyDescent="0.25">
      <c r="A770" t="s">
        <v>1710</v>
      </c>
      <c r="B770" t="s">
        <v>1722</v>
      </c>
      <c r="C770" t="s">
        <v>426</v>
      </c>
      <c r="D770" t="str">
        <f>_xlfn.XLOOKUP(C770,'Allow&amp;Disa Exp by Truelayer cat'!$B:$B,'Allow&amp;Disa Exp by Truelayer cat'!$C:$C)</f>
        <v>Review</v>
      </c>
      <c r="E770" s="116" t="str">
        <f>_xlfn.XLOOKUP(C770,'Allow&amp;Disa Exp by Truelayer cat'!$B:$B,'Allow&amp;Disa Exp by Truelayer cat'!$D:$D)</f>
        <v>"Was this purchase for trade purposes?"</v>
      </c>
      <c r="F770" t="str">
        <f>_xlfn.XLOOKUP(C770,'Allow&amp;Disa Exp by Truelayer cat'!$B:$B,'Allow&amp;Disa Exp by Truelayer cat'!$E:$E)</f>
        <v xml:space="preserve"> If not for trade, then disallow and add back to income. - Prompt user to add receipt for VAT or just evidence</v>
      </c>
    </row>
    <row r="771" spans="1:6" ht="75" x14ac:dyDescent="0.25">
      <c r="A771" t="s">
        <v>1710</v>
      </c>
      <c r="B771" t="s">
        <v>1723</v>
      </c>
      <c r="C771" t="s">
        <v>376</v>
      </c>
      <c r="D771" t="str">
        <f>_xlfn.XLOOKUP(C771,'Allow&amp;Disa Exp by Truelayer cat'!$B:$B,'Allow&amp;Disa Exp by Truelayer cat'!$C:$C)</f>
        <v>Review</v>
      </c>
      <c r="E771" s="116" t="str">
        <f>_xlfn.XLOOKUP(C771,'Allow&amp;Disa Exp by Truelayer cat'!$B:$B,'Allow&amp;Disa Exp by Truelayer cat'!$D:$D)</f>
        <v>"Oh! Im not sure what this may be. Help me with this and I sure won't forget the next time" (Then give listing of what is shown in this list, and then ask if this is for trade.)</v>
      </c>
      <c r="F771" t="str">
        <f>_xlfn.XLOOKUP(C771,'Allow&amp;Disa Exp by Truelayer cat'!$B:$B,'Allow&amp;Disa Exp by Truelayer cat'!$E:$E)</f>
        <v xml:space="preserve"> If not for trade, then disallow and add back to income. - Prompt user to add receipt for VAT or just evidence</v>
      </c>
    </row>
    <row r="772" spans="1:6" ht="75" x14ac:dyDescent="0.25">
      <c r="A772" t="s">
        <v>1710</v>
      </c>
      <c r="B772" t="s">
        <v>1724</v>
      </c>
      <c r="C772" t="s">
        <v>376</v>
      </c>
      <c r="D772" t="str">
        <f>_xlfn.XLOOKUP(C772,'Allow&amp;Disa Exp by Truelayer cat'!$B:$B,'Allow&amp;Disa Exp by Truelayer cat'!$C:$C)</f>
        <v>Review</v>
      </c>
      <c r="E772" s="116" t="str">
        <f>_xlfn.XLOOKUP(C772,'Allow&amp;Disa Exp by Truelayer cat'!$B:$B,'Allow&amp;Disa Exp by Truelayer cat'!$D:$D)</f>
        <v>"Oh! Im not sure what this may be. Help me with this and I sure won't forget the next time" (Then give listing of what is shown in this list, and then ask if this is for trade.)</v>
      </c>
      <c r="F772" t="str">
        <f>_xlfn.XLOOKUP(C772,'Allow&amp;Disa Exp by Truelayer cat'!$B:$B,'Allow&amp;Disa Exp by Truelayer cat'!$E:$E)</f>
        <v xml:space="preserve"> If not for trade, then disallow and add back to income. - Prompt user to add receipt for VAT or just evidence</v>
      </c>
    </row>
    <row r="773" spans="1:6" ht="75" x14ac:dyDescent="0.25">
      <c r="A773" t="s">
        <v>1710</v>
      </c>
      <c r="B773" t="s">
        <v>1725</v>
      </c>
      <c r="C773" t="s">
        <v>376</v>
      </c>
      <c r="D773" t="str">
        <f>_xlfn.XLOOKUP(C773,'Allow&amp;Disa Exp by Truelayer cat'!$B:$B,'Allow&amp;Disa Exp by Truelayer cat'!$C:$C)</f>
        <v>Review</v>
      </c>
      <c r="E773" s="116" t="str">
        <f>_xlfn.XLOOKUP(C773,'Allow&amp;Disa Exp by Truelayer cat'!$B:$B,'Allow&amp;Disa Exp by Truelayer cat'!$D:$D)</f>
        <v>"Oh! Im not sure what this may be. Help me with this and I sure won't forget the next time" (Then give listing of what is shown in this list, and then ask if this is for trade.)</v>
      </c>
      <c r="F773" t="str">
        <f>_xlfn.XLOOKUP(C773,'Allow&amp;Disa Exp by Truelayer cat'!$B:$B,'Allow&amp;Disa Exp by Truelayer cat'!$E:$E)</f>
        <v xml:space="preserve"> If not for trade, then disallow and add back to income. - Prompt user to add receipt for VAT or just evidence</v>
      </c>
    </row>
    <row r="774" spans="1:6" x14ac:dyDescent="0.25">
      <c r="A774" t="s">
        <v>1710</v>
      </c>
      <c r="B774" t="s">
        <v>1726</v>
      </c>
      <c r="C774" t="s">
        <v>487</v>
      </c>
      <c r="D774" t="str">
        <f>_xlfn.XLOOKUP(C774,'Allow&amp;Disa Exp by Truelayer cat'!$B:$B,'Allow&amp;Disa Exp by Truelayer cat'!$C:$C)</f>
        <v>Allowable</v>
      </c>
      <c r="E774" s="116">
        <f>_xlfn.XLOOKUP(C774,'Allow&amp;Disa Exp by Truelayer cat'!$B:$B,'Allow&amp;Disa Exp by Truelayer cat'!$D:$D)</f>
        <v>0</v>
      </c>
      <c r="F774" t="str">
        <f>_xlfn.XLOOKUP(C774,'Allow&amp;Disa Exp by Truelayer cat'!$B:$B,'Allow&amp;Disa Exp by Truelayer cat'!$E:$E)</f>
        <v>Deduct from expenses</v>
      </c>
    </row>
    <row r="775" spans="1:6" x14ac:dyDescent="0.25">
      <c r="A775" t="s">
        <v>1710</v>
      </c>
      <c r="B775" t="s">
        <v>1727</v>
      </c>
      <c r="C775" t="s">
        <v>487</v>
      </c>
      <c r="D775" t="str">
        <f>_xlfn.XLOOKUP(C775,'Allow&amp;Disa Exp by Truelayer cat'!$B:$B,'Allow&amp;Disa Exp by Truelayer cat'!$C:$C)</f>
        <v>Allowable</v>
      </c>
      <c r="E775" s="116">
        <f>_xlfn.XLOOKUP(C775,'Allow&amp;Disa Exp by Truelayer cat'!$B:$B,'Allow&amp;Disa Exp by Truelayer cat'!$D:$D)</f>
        <v>0</v>
      </c>
      <c r="F775" t="str">
        <f>_xlfn.XLOOKUP(C775,'Allow&amp;Disa Exp by Truelayer cat'!$B:$B,'Allow&amp;Disa Exp by Truelayer cat'!$E:$E)</f>
        <v>Deduct from expenses</v>
      </c>
    </row>
    <row r="776" spans="1:6" x14ac:dyDescent="0.25">
      <c r="A776" t="s">
        <v>1710</v>
      </c>
      <c r="B776" t="s">
        <v>1728</v>
      </c>
      <c r="C776" t="s">
        <v>487</v>
      </c>
      <c r="D776" t="str">
        <f>_xlfn.XLOOKUP(C776,'Allow&amp;Disa Exp by Truelayer cat'!$B:$B,'Allow&amp;Disa Exp by Truelayer cat'!$C:$C)</f>
        <v>Allowable</v>
      </c>
      <c r="E776" s="116">
        <f>_xlfn.XLOOKUP(C776,'Allow&amp;Disa Exp by Truelayer cat'!$B:$B,'Allow&amp;Disa Exp by Truelayer cat'!$D:$D)</f>
        <v>0</v>
      </c>
      <c r="F776" t="str">
        <f>_xlfn.XLOOKUP(C776,'Allow&amp;Disa Exp by Truelayer cat'!$B:$B,'Allow&amp;Disa Exp by Truelayer cat'!$E:$E)</f>
        <v>Deduct from expenses</v>
      </c>
    </row>
    <row r="777" spans="1:6" x14ac:dyDescent="0.25">
      <c r="A777" t="s">
        <v>1710</v>
      </c>
      <c r="B777" t="s">
        <v>1729</v>
      </c>
      <c r="C777" t="s">
        <v>487</v>
      </c>
      <c r="D777" t="str">
        <f>_xlfn.XLOOKUP(C777,'Allow&amp;Disa Exp by Truelayer cat'!$B:$B,'Allow&amp;Disa Exp by Truelayer cat'!$C:$C)</f>
        <v>Allowable</v>
      </c>
      <c r="E777" s="116">
        <f>_xlfn.XLOOKUP(C777,'Allow&amp;Disa Exp by Truelayer cat'!$B:$B,'Allow&amp;Disa Exp by Truelayer cat'!$D:$D)</f>
        <v>0</v>
      </c>
      <c r="F777" t="str">
        <f>_xlfn.XLOOKUP(C777,'Allow&amp;Disa Exp by Truelayer cat'!$B:$B,'Allow&amp;Disa Exp by Truelayer cat'!$E:$E)</f>
        <v>Deduct from expenses</v>
      </c>
    </row>
    <row r="778" spans="1:6" x14ac:dyDescent="0.25">
      <c r="A778" t="s">
        <v>1710</v>
      </c>
      <c r="B778" t="s">
        <v>1730</v>
      </c>
      <c r="C778" t="s">
        <v>487</v>
      </c>
      <c r="D778" t="str">
        <f>_xlfn.XLOOKUP(C778,'Allow&amp;Disa Exp by Truelayer cat'!$B:$B,'Allow&amp;Disa Exp by Truelayer cat'!$C:$C)</f>
        <v>Allowable</v>
      </c>
      <c r="E778" s="116">
        <f>_xlfn.XLOOKUP(C778,'Allow&amp;Disa Exp by Truelayer cat'!$B:$B,'Allow&amp;Disa Exp by Truelayer cat'!$D:$D)</f>
        <v>0</v>
      </c>
      <c r="F778" t="str">
        <f>_xlfn.XLOOKUP(C778,'Allow&amp;Disa Exp by Truelayer cat'!$B:$B,'Allow&amp;Disa Exp by Truelayer cat'!$E:$E)</f>
        <v>Deduct from expenses</v>
      </c>
    </row>
    <row r="779" spans="1:6" x14ac:dyDescent="0.25">
      <c r="A779" t="s">
        <v>1710</v>
      </c>
      <c r="B779" t="s">
        <v>1731</v>
      </c>
      <c r="C779" t="s">
        <v>487</v>
      </c>
      <c r="D779" t="str">
        <f>_xlfn.XLOOKUP(C779,'Allow&amp;Disa Exp by Truelayer cat'!$B:$B,'Allow&amp;Disa Exp by Truelayer cat'!$C:$C)</f>
        <v>Allowable</v>
      </c>
      <c r="E779" s="116">
        <f>_xlfn.XLOOKUP(C779,'Allow&amp;Disa Exp by Truelayer cat'!$B:$B,'Allow&amp;Disa Exp by Truelayer cat'!$D:$D)</f>
        <v>0</v>
      </c>
      <c r="F779" t="str">
        <f>_xlfn.XLOOKUP(C779,'Allow&amp;Disa Exp by Truelayer cat'!$B:$B,'Allow&amp;Disa Exp by Truelayer cat'!$E:$E)</f>
        <v>Deduct from expenses</v>
      </c>
    </row>
    <row r="780" spans="1:6" x14ac:dyDescent="0.25">
      <c r="A780" t="s">
        <v>1710</v>
      </c>
      <c r="B780" t="s">
        <v>1732</v>
      </c>
      <c r="C780" t="s">
        <v>487</v>
      </c>
      <c r="D780" t="str">
        <f>_xlfn.XLOOKUP(C780,'Allow&amp;Disa Exp by Truelayer cat'!$B:$B,'Allow&amp;Disa Exp by Truelayer cat'!$C:$C)</f>
        <v>Allowable</v>
      </c>
      <c r="E780" s="116">
        <f>_xlfn.XLOOKUP(C780,'Allow&amp;Disa Exp by Truelayer cat'!$B:$B,'Allow&amp;Disa Exp by Truelayer cat'!$D:$D)</f>
        <v>0</v>
      </c>
      <c r="F780" t="str">
        <f>_xlfn.XLOOKUP(C780,'Allow&amp;Disa Exp by Truelayer cat'!$B:$B,'Allow&amp;Disa Exp by Truelayer cat'!$E:$E)</f>
        <v>Deduct from expenses</v>
      </c>
    </row>
    <row r="781" spans="1:6" x14ac:dyDescent="0.25">
      <c r="A781" t="s">
        <v>1710</v>
      </c>
      <c r="B781" t="s">
        <v>1605</v>
      </c>
      <c r="C781" t="s">
        <v>464</v>
      </c>
      <c r="D781" t="str">
        <f>_xlfn.XLOOKUP(C781,'Allow&amp;Disa Exp by Truelayer cat'!$B:$B,'Allow&amp;Disa Exp by Truelayer cat'!$C:$C)</f>
        <v>Allowable</v>
      </c>
      <c r="E781" s="116">
        <f>_xlfn.XLOOKUP(C781,'Allow&amp;Disa Exp by Truelayer cat'!$B:$B,'Allow&amp;Disa Exp by Truelayer cat'!$D:$D)</f>
        <v>0</v>
      </c>
      <c r="F781" t="str">
        <f>_xlfn.XLOOKUP(C781,'Allow&amp;Disa Exp by Truelayer cat'!$B:$B,'Allow&amp;Disa Exp by Truelayer cat'!$E:$E)</f>
        <v>Deduct from expenses</v>
      </c>
    </row>
    <row r="782" spans="1:6" x14ac:dyDescent="0.25">
      <c r="A782" t="s">
        <v>1710</v>
      </c>
      <c r="B782" t="s">
        <v>1733</v>
      </c>
      <c r="C782" t="s">
        <v>487</v>
      </c>
      <c r="D782" t="str">
        <f>_xlfn.XLOOKUP(C782,'Allow&amp;Disa Exp by Truelayer cat'!$B:$B,'Allow&amp;Disa Exp by Truelayer cat'!$C:$C)</f>
        <v>Allowable</v>
      </c>
      <c r="E782" s="116">
        <f>_xlfn.XLOOKUP(C782,'Allow&amp;Disa Exp by Truelayer cat'!$B:$B,'Allow&amp;Disa Exp by Truelayer cat'!$D:$D)</f>
        <v>0</v>
      </c>
      <c r="F782" t="str">
        <f>_xlfn.XLOOKUP(C782,'Allow&amp;Disa Exp by Truelayer cat'!$B:$B,'Allow&amp;Disa Exp by Truelayer cat'!$E:$E)</f>
        <v>Deduct from expenses</v>
      </c>
    </row>
    <row r="783" spans="1:6" x14ac:dyDescent="0.25">
      <c r="A783" t="s">
        <v>1710</v>
      </c>
      <c r="B783" t="s">
        <v>1734</v>
      </c>
      <c r="C783" t="s">
        <v>487</v>
      </c>
      <c r="D783" t="str">
        <f>_xlfn.XLOOKUP(C783,'Allow&amp;Disa Exp by Truelayer cat'!$B:$B,'Allow&amp;Disa Exp by Truelayer cat'!$C:$C)</f>
        <v>Allowable</v>
      </c>
      <c r="E783" s="116">
        <f>_xlfn.XLOOKUP(C783,'Allow&amp;Disa Exp by Truelayer cat'!$B:$B,'Allow&amp;Disa Exp by Truelayer cat'!$D:$D)</f>
        <v>0</v>
      </c>
      <c r="F783" t="str">
        <f>_xlfn.XLOOKUP(C783,'Allow&amp;Disa Exp by Truelayer cat'!$B:$B,'Allow&amp;Disa Exp by Truelayer cat'!$E:$E)</f>
        <v>Deduct from expenses</v>
      </c>
    </row>
    <row r="784" spans="1:6" x14ac:dyDescent="0.25">
      <c r="A784" t="s">
        <v>1710</v>
      </c>
      <c r="B784" t="s">
        <v>1735</v>
      </c>
      <c r="C784" t="s">
        <v>487</v>
      </c>
      <c r="D784" t="str">
        <f>_xlfn.XLOOKUP(C784,'Allow&amp;Disa Exp by Truelayer cat'!$B:$B,'Allow&amp;Disa Exp by Truelayer cat'!$C:$C)</f>
        <v>Allowable</v>
      </c>
      <c r="E784" s="116">
        <f>_xlfn.XLOOKUP(C784,'Allow&amp;Disa Exp by Truelayer cat'!$B:$B,'Allow&amp;Disa Exp by Truelayer cat'!$D:$D)</f>
        <v>0</v>
      </c>
      <c r="F784" t="str">
        <f>_xlfn.XLOOKUP(C784,'Allow&amp;Disa Exp by Truelayer cat'!$B:$B,'Allow&amp;Disa Exp by Truelayer cat'!$E:$E)</f>
        <v>Deduct from expenses</v>
      </c>
    </row>
    <row r="785" spans="1:6" ht="75" x14ac:dyDescent="0.25">
      <c r="A785" t="s">
        <v>1710</v>
      </c>
      <c r="B785" t="s">
        <v>1736</v>
      </c>
      <c r="C785" t="s">
        <v>376</v>
      </c>
      <c r="D785" t="str">
        <f>_xlfn.XLOOKUP(C785,'Allow&amp;Disa Exp by Truelayer cat'!$B:$B,'Allow&amp;Disa Exp by Truelayer cat'!$C:$C)</f>
        <v>Review</v>
      </c>
      <c r="E785" s="116" t="str">
        <f>_xlfn.XLOOKUP(C785,'Allow&amp;Disa Exp by Truelayer cat'!$B:$B,'Allow&amp;Disa Exp by Truelayer cat'!$D:$D)</f>
        <v>"Oh! Im not sure what this may be. Help me with this and I sure won't forget the next time" (Then give listing of what is shown in this list, and then ask if this is for trade.)</v>
      </c>
      <c r="F785" t="str">
        <f>_xlfn.XLOOKUP(C785,'Allow&amp;Disa Exp by Truelayer cat'!$B:$B,'Allow&amp;Disa Exp by Truelayer cat'!$E:$E)</f>
        <v xml:space="preserve"> If not for trade, then disallow and add back to income. - Prompt user to add receipt for VAT or just evidence</v>
      </c>
    </row>
    <row r="786" spans="1:6" ht="75" x14ac:dyDescent="0.25">
      <c r="A786" t="s">
        <v>1710</v>
      </c>
      <c r="B786" t="s">
        <v>1737</v>
      </c>
      <c r="C786" t="s">
        <v>376</v>
      </c>
      <c r="D786" t="str">
        <f>_xlfn.XLOOKUP(C786,'Allow&amp;Disa Exp by Truelayer cat'!$B:$B,'Allow&amp;Disa Exp by Truelayer cat'!$C:$C)</f>
        <v>Review</v>
      </c>
      <c r="E786" s="116" t="str">
        <f>_xlfn.XLOOKUP(C786,'Allow&amp;Disa Exp by Truelayer cat'!$B:$B,'Allow&amp;Disa Exp by Truelayer cat'!$D:$D)</f>
        <v>"Oh! Im not sure what this may be. Help me with this and I sure won't forget the next time" (Then give listing of what is shown in this list, and then ask if this is for trade.)</v>
      </c>
      <c r="F786" t="str">
        <f>_xlfn.XLOOKUP(C786,'Allow&amp;Disa Exp by Truelayer cat'!$B:$B,'Allow&amp;Disa Exp by Truelayer cat'!$E:$E)</f>
        <v xml:space="preserve"> If not for trade, then disallow and add back to income. - Prompt user to add receipt for VAT or just evidence</v>
      </c>
    </row>
    <row r="787" spans="1:6" ht="30" x14ac:dyDescent="0.25">
      <c r="A787" t="s">
        <v>1710</v>
      </c>
      <c r="B787" t="s">
        <v>1738</v>
      </c>
      <c r="C787" t="s">
        <v>425</v>
      </c>
      <c r="D787" t="str">
        <f>_xlfn.XLOOKUP(C787,'Allow&amp;Disa Exp by Truelayer cat'!$B:$B,'Allow&amp;Disa Exp by Truelayer cat'!$C:$C)</f>
        <v>Review</v>
      </c>
      <c r="E787" s="116" t="str">
        <f>_xlfn.XLOOKUP(C787,'Allow&amp;Disa Exp by Truelayer cat'!$B:$B,'Allow&amp;Disa Exp by Truelayer cat'!$D:$D)</f>
        <v>"Was this purchase for trade purposes?"</v>
      </c>
      <c r="F787" t="str">
        <f>_xlfn.XLOOKUP(C787,'Allow&amp;Disa Exp by Truelayer cat'!$B:$B,'Allow&amp;Disa Exp by Truelayer cat'!$E:$E)</f>
        <v xml:space="preserve"> If not for trade, then disallow and add back to income. - Prompt user to add receipt for VAT or just evidence</v>
      </c>
    </row>
    <row r="788" spans="1:6" ht="75" x14ac:dyDescent="0.25">
      <c r="A788" t="s">
        <v>1710</v>
      </c>
      <c r="B788" t="s">
        <v>1739</v>
      </c>
      <c r="C788" t="s">
        <v>376</v>
      </c>
      <c r="D788" t="str">
        <f>_xlfn.XLOOKUP(C788,'Allow&amp;Disa Exp by Truelayer cat'!$B:$B,'Allow&amp;Disa Exp by Truelayer cat'!$C:$C)</f>
        <v>Review</v>
      </c>
      <c r="E788" s="116" t="str">
        <f>_xlfn.XLOOKUP(C788,'Allow&amp;Disa Exp by Truelayer cat'!$B:$B,'Allow&amp;Disa Exp by Truelayer cat'!$D:$D)</f>
        <v>"Oh! Im not sure what this may be. Help me with this and I sure won't forget the next time" (Then give listing of what is shown in this list, and then ask if this is for trade.)</v>
      </c>
      <c r="F788" t="str">
        <f>_xlfn.XLOOKUP(C788,'Allow&amp;Disa Exp by Truelayer cat'!$B:$B,'Allow&amp;Disa Exp by Truelayer cat'!$E:$E)</f>
        <v xml:space="preserve"> If not for trade, then disallow and add back to income. - Prompt user to add receipt for VAT or just evidence</v>
      </c>
    </row>
    <row r="789" spans="1:6" ht="30" x14ac:dyDescent="0.25">
      <c r="A789" t="s">
        <v>1710</v>
      </c>
      <c r="B789" t="s">
        <v>1740</v>
      </c>
      <c r="C789" t="s">
        <v>425</v>
      </c>
      <c r="D789" t="str">
        <f>_xlfn.XLOOKUP(C789,'Allow&amp;Disa Exp by Truelayer cat'!$B:$B,'Allow&amp;Disa Exp by Truelayer cat'!$C:$C)</f>
        <v>Review</v>
      </c>
      <c r="E789" s="116" t="str">
        <f>_xlfn.XLOOKUP(C789,'Allow&amp;Disa Exp by Truelayer cat'!$B:$B,'Allow&amp;Disa Exp by Truelayer cat'!$D:$D)</f>
        <v>"Was this purchase for trade purposes?"</v>
      </c>
      <c r="F789" t="str">
        <f>_xlfn.XLOOKUP(C789,'Allow&amp;Disa Exp by Truelayer cat'!$B:$B,'Allow&amp;Disa Exp by Truelayer cat'!$E:$E)</f>
        <v xml:space="preserve"> If not for trade, then disallow and add back to income. - Prompt user to add receipt for VAT or just evidence</v>
      </c>
    </row>
    <row r="790" spans="1:6" ht="45" x14ac:dyDescent="0.25">
      <c r="A790" t="s">
        <v>1710</v>
      </c>
      <c r="B790" t="s">
        <v>1741</v>
      </c>
      <c r="C790" t="s">
        <v>411</v>
      </c>
      <c r="D790" t="str">
        <f>_xlfn.XLOOKUP(C790,'Allow&amp;Disa Exp by Truelayer cat'!$B:$B,'Allow&amp;Disa Exp by Truelayer cat'!$C:$C)</f>
        <v>Review</v>
      </c>
      <c r="E790" s="116" t="str">
        <f>_xlfn.XLOOKUP(C790,'Allow&amp;Disa Exp by Truelayer cat'!$B:$B,'Allow&amp;Disa Exp by Truelayer cat'!$D:$D)</f>
        <v>"Is this music for business…or just to keep you dancing while doing the dishes?"</v>
      </c>
      <c r="F790" t="str">
        <f>_xlfn.XLOOKUP(C790,'Allow&amp;Disa Exp by Truelayer cat'!$B:$B,'Allow&amp;Disa Exp by Truelayer cat'!$E:$E)</f>
        <v xml:space="preserve"> If not for trade, then disallow and add back to income. - Prompt user to add receipt for VAT or just evidence</v>
      </c>
    </row>
    <row r="791" spans="1:6" x14ac:dyDescent="0.25">
      <c r="A791" t="s">
        <v>1710</v>
      </c>
      <c r="B791" t="s">
        <v>1742</v>
      </c>
      <c r="C791" t="s">
        <v>433</v>
      </c>
      <c r="D791" t="str">
        <f>_xlfn.XLOOKUP(C791,'Allow&amp;Disa Exp by Truelayer cat'!$B:$B,'Allow&amp;Disa Exp by Truelayer cat'!$C:$C)</f>
        <v>Disallowable</v>
      </c>
      <c r="E791" s="116">
        <f>_xlfn.XLOOKUP(C791,'Allow&amp;Disa Exp by Truelayer cat'!$B:$B,'Allow&amp;Disa Exp by Truelayer cat'!$D:$D)</f>
        <v>0</v>
      </c>
      <c r="F791" t="str">
        <f>_xlfn.XLOOKUP(C791,'Allow&amp;Disa Exp by Truelayer cat'!$B:$B,'Allow&amp;Disa Exp by Truelayer cat'!$E:$E)</f>
        <v>Add back to income</v>
      </c>
    </row>
    <row r="792" spans="1:6" x14ac:dyDescent="0.25">
      <c r="A792" t="s">
        <v>1710</v>
      </c>
      <c r="B792" t="s">
        <v>1743</v>
      </c>
      <c r="C792" t="s">
        <v>427</v>
      </c>
      <c r="D792" t="str">
        <f>_xlfn.XLOOKUP(C792,'Allow&amp;Disa Exp by Truelayer cat'!$B:$B,'Allow&amp;Disa Exp by Truelayer cat'!$C:$C)</f>
        <v>Allowable if under £500</v>
      </c>
      <c r="E792" s="116">
        <f>_xlfn.XLOOKUP(C792,'Allow&amp;Disa Exp by Truelayer cat'!$B:$B,'Allow&amp;Disa Exp by Truelayer cat'!$D:$D)</f>
        <v>0</v>
      </c>
      <c r="F792" t="str">
        <f>_xlfn.XLOOKUP(C792,'Allow&amp;Disa Exp by Truelayer cat'!$B:$B,'Allow&amp;Disa Exp by Truelayer cat'!$E:$E)</f>
        <v>Deduct from expenses if under £500</v>
      </c>
    </row>
    <row r="793" spans="1:6" ht="60" x14ac:dyDescent="0.25">
      <c r="A793" t="s">
        <v>1710</v>
      </c>
      <c r="B793" t="s">
        <v>1744</v>
      </c>
      <c r="C793" t="s">
        <v>423</v>
      </c>
      <c r="D793" t="str">
        <f>_xlfn.XLOOKUP(C793,'Allow&amp;Disa Exp by Truelayer cat'!$B:$B,'Allow&amp;Disa Exp by Truelayer cat'!$C:$C)</f>
        <v>Review</v>
      </c>
      <c r="E793" s="116" t="str">
        <f>_xlfn.XLOOKUP(C793,'Allow&amp;Disa Exp by Truelayer cat'!$B:$B,'Allow&amp;Disa Exp by Truelayer cat'!$D:$D)</f>
        <v>"We see you've bought some groceries! Was this grocery haul fuel for your business….or just dinner?"</v>
      </c>
      <c r="F793" t="str">
        <f>_xlfn.XLOOKUP(C793,'Allow&amp;Disa Exp by Truelayer cat'!$B:$B,'Allow&amp;Disa Exp by Truelayer cat'!$E:$E)</f>
        <v xml:space="preserve"> If not for trade, then disallow and add back to income. - Prompt user to add receipt for VAT or just evidence</v>
      </c>
    </row>
    <row r="794" spans="1:6" x14ac:dyDescent="0.25">
      <c r="A794" t="s">
        <v>1710</v>
      </c>
      <c r="B794" t="s">
        <v>1745</v>
      </c>
      <c r="C794" t="s">
        <v>433</v>
      </c>
      <c r="D794" t="str">
        <f>_xlfn.XLOOKUP(C794,'Allow&amp;Disa Exp by Truelayer cat'!$B:$B,'Allow&amp;Disa Exp by Truelayer cat'!$C:$C)</f>
        <v>Disallowable</v>
      </c>
      <c r="E794" s="116">
        <f>_xlfn.XLOOKUP(C794,'Allow&amp;Disa Exp by Truelayer cat'!$B:$B,'Allow&amp;Disa Exp by Truelayer cat'!$D:$D)</f>
        <v>0</v>
      </c>
      <c r="F794" t="str">
        <f>_xlfn.XLOOKUP(C794,'Allow&amp;Disa Exp by Truelayer cat'!$B:$B,'Allow&amp;Disa Exp by Truelayer cat'!$E:$E)</f>
        <v>Add back to income</v>
      </c>
    </row>
    <row r="795" spans="1:6" ht="75" x14ac:dyDescent="0.25">
      <c r="A795" t="s">
        <v>1710</v>
      </c>
      <c r="B795" t="s">
        <v>1746</v>
      </c>
      <c r="C795" t="s">
        <v>376</v>
      </c>
      <c r="D795" t="str">
        <f>_xlfn.XLOOKUP(C795,'Allow&amp;Disa Exp by Truelayer cat'!$B:$B,'Allow&amp;Disa Exp by Truelayer cat'!$C:$C)</f>
        <v>Review</v>
      </c>
      <c r="E795" s="116" t="str">
        <f>_xlfn.XLOOKUP(C795,'Allow&amp;Disa Exp by Truelayer cat'!$B:$B,'Allow&amp;Disa Exp by Truelayer cat'!$D:$D)</f>
        <v>"Oh! Im not sure what this may be. Help me with this and I sure won't forget the next time" (Then give listing of what is shown in this list, and then ask if this is for trade.)</v>
      </c>
      <c r="F795" t="str">
        <f>_xlfn.XLOOKUP(C795,'Allow&amp;Disa Exp by Truelayer cat'!$B:$B,'Allow&amp;Disa Exp by Truelayer cat'!$E:$E)</f>
        <v xml:space="preserve"> If not for trade, then disallow and add back to income. - Prompt user to add receipt for VAT or just evidence</v>
      </c>
    </row>
    <row r="796" spans="1:6" ht="75" x14ac:dyDescent="0.25">
      <c r="A796" t="s">
        <v>1710</v>
      </c>
      <c r="B796" t="s">
        <v>1747</v>
      </c>
      <c r="C796" t="s">
        <v>376</v>
      </c>
      <c r="D796" t="str">
        <f>_xlfn.XLOOKUP(C796,'Allow&amp;Disa Exp by Truelayer cat'!$B:$B,'Allow&amp;Disa Exp by Truelayer cat'!$C:$C)</f>
        <v>Review</v>
      </c>
      <c r="E796" s="116" t="str">
        <f>_xlfn.XLOOKUP(C796,'Allow&amp;Disa Exp by Truelayer cat'!$B:$B,'Allow&amp;Disa Exp by Truelayer cat'!$D:$D)</f>
        <v>"Oh! Im not sure what this may be. Help me with this and I sure won't forget the next time" (Then give listing of what is shown in this list, and then ask if this is for trade.)</v>
      </c>
      <c r="F796" t="str">
        <f>_xlfn.XLOOKUP(C796,'Allow&amp;Disa Exp by Truelayer cat'!$B:$B,'Allow&amp;Disa Exp by Truelayer cat'!$E:$E)</f>
        <v xml:space="preserve"> If not for trade, then disallow and add back to income. - Prompt user to add receipt for VAT or just evidence</v>
      </c>
    </row>
    <row r="797" spans="1:6" ht="75" x14ac:dyDescent="0.25">
      <c r="A797" t="s">
        <v>1710</v>
      </c>
      <c r="B797" t="s">
        <v>1748</v>
      </c>
      <c r="C797" t="s">
        <v>376</v>
      </c>
      <c r="D797" t="str">
        <f>_xlfn.XLOOKUP(C797,'Allow&amp;Disa Exp by Truelayer cat'!$B:$B,'Allow&amp;Disa Exp by Truelayer cat'!$C:$C)</f>
        <v>Review</v>
      </c>
      <c r="E797" s="116" t="str">
        <f>_xlfn.XLOOKUP(C797,'Allow&amp;Disa Exp by Truelayer cat'!$B:$B,'Allow&amp;Disa Exp by Truelayer cat'!$D:$D)</f>
        <v>"Oh! Im not sure what this may be. Help me with this and I sure won't forget the next time" (Then give listing of what is shown in this list, and then ask if this is for trade.)</v>
      </c>
      <c r="F797" t="str">
        <f>_xlfn.XLOOKUP(C797,'Allow&amp;Disa Exp by Truelayer cat'!$B:$B,'Allow&amp;Disa Exp by Truelayer cat'!$E:$E)</f>
        <v xml:space="preserve"> If not for trade, then disallow and add back to income. - Prompt user to add receipt for VAT or just evidence</v>
      </c>
    </row>
    <row r="798" spans="1:6" ht="30" x14ac:dyDescent="0.25">
      <c r="A798" t="s">
        <v>1710</v>
      </c>
      <c r="B798" t="s">
        <v>1749</v>
      </c>
      <c r="C798" t="s">
        <v>413</v>
      </c>
      <c r="D798" t="str">
        <f>_xlfn.XLOOKUP(C798,'Allow&amp;Disa Exp by Truelayer cat'!$B:$B,'Allow&amp;Disa Exp by Truelayer cat'!$C:$C)</f>
        <v>Review</v>
      </c>
      <c r="E798" s="116" t="str">
        <f>_xlfn.XLOOKUP(C798,'Allow&amp;Disa Exp by Truelayer cat'!$B:$B,'Allow&amp;Disa Exp by Truelayer cat'!$D:$D)</f>
        <v>"Was this purchase for trade purposes?"</v>
      </c>
      <c r="F798" t="str">
        <f>_xlfn.XLOOKUP(C798,'Allow&amp;Disa Exp by Truelayer cat'!$B:$B,'Allow&amp;Disa Exp by Truelayer cat'!$E:$E)</f>
        <v xml:space="preserve"> If not for trade, then disallow and add back to income. - Prompt user to add receipt for VAT or just evidence</v>
      </c>
    </row>
    <row r="799" spans="1:6" ht="75" x14ac:dyDescent="0.25">
      <c r="A799" t="s">
        <v>1710</v>
      </c>
      <c r="B799" t="s">
        <v>1750</v>
      </c>
      <c r="C799" t="s">
        <v>376</v>
      </c>
      <c r="D799" t="str">
        <f>_xlfn.XLOOKUP(C799,'Allow&amp;Disa Exp by Truelayer cat'!$B:$B,'Allow&amp;Disa Exp by Truelayer cat'!$C:$C)</f>
        <v>Review</v>
      </c>
      <c r="E799" s="116" t="str">
        <f>_xlfn.XLOOKUP(C799,'Allow&amp;Disa Exp by Truelayer cat'!$B:$B,'Allow&amp;Disa Exp by Truelayer cat'!$D:$D)</f>
        <v>"Oh! Im not sure what this may be. Help me with this and I sure won't forget the next time" (Then give listing of what is shown in this list, and then ask if this is for trade.)</v>
      </c>
      <c r="F799" t="str">
        <f>_xlfn.XLOOKUP(C799,'Allow&amp;Disa Exp by Truelayer cat'!$B:$B,'Allow&amp;Disa Exp by Truelayer cat'!$E:$E)</f>
        <v xml:space="preserve"> If not for trade, then disallow and add back to income. - Prompt user to add receipt for VAT or just evidence</v>
      </c>
    </row>
    <row r="800" spans="1:6" x14ac:dyDescent="0.25">
      <c r="A800" t="s">
        <v>1710</v>
      </c>
      <c r="B800" t="s">
        <v>1751</v>
      </c>
      <c r="C800" t="s">
        <v>427</v>
      </c>
      <c r="D800" t="str">
        <f>_xlfn.XLOOKUP(C800,'Allow&amp;Disa Exp by Truelayer cat'!$B:$B,'Allow&amp;Disa Exp by Truelayer cat'!$C:$C)</f>
        <v>Allowable if under £500</v>
      </c>
      <c r="E800" s="116">
        <f>_xlfn.XLOOKUP(C800,'Allow&amp;Disa Exp by Truelayer cat'!$B:$B,'Allow&amp;Disa Exp by Truelayer cat'!$D:$D)</f>
        <v>0</v>
      </c>
      <c r="F800" t="str">
        <f>_xlfn.XLOOKUP(C800,'Allow&amp;Disa Exp by Truelayer cat'!$B:$B,'Allow&amp;Disa Exp by Truelayer cat'!$E:$E)</f>
        <v>Deduct from expenses if under £500</v>
      </c>
    </row>
    <row r="801" spans="1:6" x14ac:dyDescent="0.25">
      <c r="A801" t="s">
        <v>1710</v>
      </c>
      <c r="B801" t="s">
        <v>1752</v>
      </c>
      <c r="C801" t="s">
        <v>427</v>
      </c>
      <c r="D801" t="str">
        <f>_xlfn.XLOOKUP(C801,'Allow&amp;Disa Exp by Truelayer cat'!$B:$B,'Allow&amp;Disa Exp by Truelayer cat'!$C:$C)</f>
        <v>Allowable if under £500</v>
      </c>
      <c r="E801" s="116">
        <f>_xlfn.XLOOKUP(C801,'Allow&amp;Disa Exp by Truelayer cat'!$B:$B,'Allow&amp;Disa Exp by Truelayer cat'!$D:$D)</f>
        <v>0</v>
      </c>
      <c r="F801" t="str">
        <f>_xlfn.XLOOKUP(C801,'Allow&amp;Disa Exp by Truelayer cat'!$B:$B,'Allow&amp;Disa Exp by Truelayer cat'!$E:$E)</f>
        <v>Deduct from expenses if under £500</v>
      </c>
    </row>
    <row r="802" spans="1:6" x14ac:dyDescent="0.25">
      <c r="A802" t="s">
        <v>1710</v>
      </c>
      <c r="B802" t="s">
        <v>1753</v>
      </c>
      <c r="C802" t="s">
        <v>107</v>
      </c>
      <c r="D802" t="str">
        <f>_xlfn.XLOOKUP(C802,'Allow&amp;Disa Exp by Truelayer cat'!$B:$B,'Allow&amp;Disa Exp by Truelayer cat'!$C:$C)</f>
        <v>Disallowable</v>
      </c>
      <c r="E802" s="116">
        <f>_xlfn.XLOOKUP(C802,'Allow&amp;Disa Exp by Truelayer cat'!$B:$B,'Allow&amp;Disa Exp by Truelayer cat'!$D:$D)</f>
        <v>0</v>
      </c>
      <c r="F802" t="str">
        <f>_xlfn.XLOOKUP(C802,'Allow&amp;Disa Exp by Truelayer cat'!$B:$B,'Allow&amp;Disa Exp by Truelayer cat'!$E:$E)</f>
        <v>Add back to income</v>
      </c>
    </row>
    <row r="803" spans="1:6" ht="75" x14ac:dyDescent="0.25">
      <c r="A803" t="s">
        <v>1710</v>
      </c>
      <c r="B803" t="s">
        <v>1754</v>
      </c>
      <c r="C803" t="s">
        <v>376</v>
      </c>
      <c r="D803" t="str">
        <f>_xlfn.XLOOKUP(C803,'Allow&amp;Disa Exp by Truelayer cat'!$B:$B,'Allow&amp;Disa Exp by Truelayer cat'!$C:$C)</f>
        <v>Review</v>
      </c>
      <c r="E803" s="116" t="str">
        <f>_xlfn.XLOOKUP(C803,'Allow&amp;Disa Exp by Truelayer cat'!$B:$B,'Allow&amp;Disa Exp by Truelayer cat'!$D:$D)</f>
        <v>"Oh! Im not sure what this may be. Help me with this and I sure won't forget the next time" (Then give listing of what is shown in this list, and then ask if this is for trade.)</v>
      </c>
      <c r="F803" t="str">
        <f>_xlfn.XLOOKUP(C803,'Allow&amp;Disa Exp by Truelayer cat'!$B:$B,'Allow&amp;Disa Exp by Truelayer cat'!$E:$E)</f>
        <v xml:space="preserve"> If not for trade, then disallow and add back to income. - Prompt user to add receipt for VAT or just evidence</v>
      </c>
    </row>
    <row r="804" spans="1:6" x14ac:dyDescent="0.25">
      <c r="A804" t="s">
        <v>1710</v>
      </c>
      <c r="B804" t="s">
        <v>1755</v>
      </c>
      <c r="C804" t="s">
        <v>487</v>
      </c>
      <c r="D804" t="str">
        <f>_xlfn.XLOOKUP(C804,'Allow&amp;Disa Exp by Truelayer cat'!$B:$B,'Allow&amp;Disa Exp by Truelayer cat'!$C:$C)</f>
        <v>Allowable</v>
      </c>
      <c r="E804" s="116">
        <f>_xlfn.XLOOKUP(C804,'Allow&amp;Disa Exp by Truelayer cat'!$B:$B,'Allow&amp;Disa Exp by Truelayer cat'!$D:$D)</f>
        <v>0</v>
      </c>
      <c r="F804" t="str">
        <f>_xlfn.XLOOKUP(C804,'Allow&amp;Disa Exp by Truelayer cat'!$B:$B,'Allow&amp;Disa Exp by Truelayer cat'!$E:$E)</f>
        <v>Deduct from expenses</v>
      </c>
    </row>
    <row r="805" spans="1:6" ht="60" x14ac:dyDescent="0.25">
      <c r="A805" t="s">
        <v>1710</v>
      </c>
      <c r="B805" t="s">
        <v>1756</v>
      </c>
      <c r="C805" t="s">
        <v>423</v>
      </c>
      <c r="D805" t="str">
        <f>_xlfn.XLOOKUP(C805,'Allow&amp;Disa Exp by Truelayer cat'!$B:$B,'Allow&amp;Disa Exp by Truelayer cat'!$C:$C)</f>
        <v>Review</v>
      </c>
      <c r="E805" s="116" t="str">
        <f>_xlfn.XLOOKUP(C805,'Allow&amp;Disa Exp by Truelayer cat'!$B:$B,'Allow&amp;Disa Exp by Truelayer cat'!$D:$D)</f>
        <v>"We see you've bought some groceries! Was this grocery haul fuel for your business….or just dinner?"</v>
      </c>
      <c r="F805" t="str">
        <f>_xlfn.XLOOKUP(C805,'Allow&amp;Disa Exp by Truelayer cat'!$B:$B,'Allow&amp;Disa Exp by Truelayer cat'!$E:$E)</f>
        <v xml:space="preserve"> If not for trade, then disallow and add back to income. - Prompt user to add receipt for VAT or just evidence</v>
      </c>
    </row>
    <row r="806" spans="1:6" ht="30" x14ac:dyDescent="0.25">
      <c r="A806" t="s">
        <v>1710</v>
      </c>
      <c r="B806" t="s">
        <v>1757</v>
      </c>
      <c r="C806" t="s">
        <v>460</v>
      </c>
      <c r="D806" t="str">
        <f>_xlfn.XLOOKUP(C806,'Allow&amp;Disa Exp by Truelayer cat'!$B:$B,'Allow&amp;Disa Exp by Truelayer cat'!$C:$C)</f>
        <v>Review</v>
      </c>
      <c r="E806" s="116" t="str">
        <f>_xlfn.XLOOKUP(C806,'Allow&amp;Disa Exp by Truelayer cat'!$B:$B,'Allow&amp;Disa Exp by Truelayer cat'!$D:$D)</f>
        <v>"Was this purchase for trade purposes?"</v>
      </c>
      <c r="F806" t="str">
        <f>_xlfn.XLOOKUP(C806,'Allow&amp;Disa Exp by Truelayer cat'!$B:$B,'Allow&amp;Disa Exp by Truelayer cat'!$E:$E)</f>
        <v xml:space="preserve"> If not for trade, then disallow and add back to income. - Prompt user to add receipt for VAT or just evidence</v>
      </c>
    </row>
    <row r="807" spans="1:6" x14ac:dyDescent="0.25">
      <c r="A807" t="s">
        <v>1710</v>
      </c>
      <c r="B807" t="s">
        <v>1758</v>
      </c>
      <c r="C807" t="s">
        <v>487</v>
      </c>
      <c r="D807" t="str">
        <f>_xlfn.XLOOKUP(C807,'Allow&amp;Disa Exp by Truelayer cat'!$B:$B,'Allow&amp;Disa Exp by Truelayer cat'!$C:$C)</f>
        <v>Allowable</v>
      </c>
      <c r="E807" s="116">
        <f>_xlfn.XLOOKUP(C807,'Allow&amp;Disa Exp by Truelayer cat'!$B:$B,'Allow&amp;Disa Exp by Truelayer cat'!$D:$D)</f>
        <v>0</v>
      </c>
      <c r="F807" t="str">
        <f>_xlfn.XLOOKUP(C807,'Allow&amp;Disa Exp by Truelayer cat'!$B:$B,'Allow&amp;Disa Exp by Truelayer cat'!$E:$E)</f>
        <v>Deduct from expenses</v>
      </c>
    </row>
    <row r="808" spans="1:6" x14ac:dyDescent="0.25">
      <c r="A808" t="s">
        <v>1710</v>
      </c>
      <c r="B808" t="s">
        <v>1759</v>
      </c>
      <c r="C808" t="s">
        <v>427</v>
      </c>
      <c r="D808" t="str">
        <f>_xlfn.XLOOKUP(C808,'Allow&amp;Disa Exp by Truelayer cat'!$B:$B,'Allow&amp;Disa Exp by Truelayer cat'!$C:$C)</f>
        <v>Allowable if under £500</v>
      </c>
      <c r="E808" s="116">
        <f>_xlfn.XLOOKUP(C808,'Allow&amp;Disa Exp by Truelayer cat'!$B:$B,'Allow&amp;Disa Exp by Truelayer cat'!$D:$D)</f>
        <v>0</v>
      </c>
      <c r="F808" t="str">
        <f>_xlfn.XLOOKUP(C808,'Allow&amp;Disa Exp by Truelayer cat'!$B:$B,'Allow&amp;Disa Exp by Truelayer cat'!$E:$E)</f>
        <v>Deduct from expenses if under £500</v>
      </c>
    </row>
    <row r="809" spans="1:6" ht="30" x14ac:dyDescent="0.25">
      <c r="A809" t="s">
        <v>1710</v>
      </c>
      <c r="B809" t="s">
        <v>1760</v>
      </c>
      <c r="C809" t="s">
        <v>460</v>
      </c>
      <c r="D809" t="str">
        <f>_xlfn.XLOOKUP(C809,'Allow&amp;Disa Exp by Truelayer cat'!$B:$B,'Allow&amp;Disa Exp by Truelayer cat'!$C:$C)</f>
        <v>Review</v>
      </c>
      <c r="E809" s="116" t="str">
        <f>_xlfn.XLOOKUP(C809,'Allow&amp;Disa Exp by Truelayer cat'!$B:$B,'Allow&amp;Disa Exp by Truelayer cat'!$D:$D)</f>
        <v>"Was this purchase for trade purposes?"</v>
      </c>
      <c r="F809" t="str">
        <f>_xlfn.XLOOKUP(C809,'Allow&amp;Disa Exp by Truelayer cat'!$B:$B,'Allow&amp;Disa Exp by Truelayer cat'!$E:$E)</f>
        <v xml:space="preserve"> If not for trade, then disallow and add back to income. - Prompt user to add receipt for VAT or just evidence</v>
      </c>
    </row>
    <row r="810" spans="1:6" x14ac:dyDescent="0.25">
      <c r="A810" t="s">
        <v>1710</v>
      </c>
      <c r="B810" t="s">
        <v>1761</v>
      </c>
      <c r="C810" t="s">
        <v>433</v>
      </c>
      <c r="D810" t="str">
        <f>_xlfn.XLOOKUP(C810,'Allow&amp;Disa Exp by Truelayer cat'!$B:$B,'Allow&amp;Disa Exp by Truelayer cat'!$C:$C)</f>
        <v>Disallowable</v>
      </c>
      <c r="E810" s="116">
        <f>_xlfn.XLOOKUP(C810,'Allow&amp;Disa Exp by Truelayer cat'!$B:$B,'Allow&amp;Disa Exp by Truelayer cat'!$D:$D)</f>
        <v>0</v>
      </c>
      <c r="F810" t="str">
        <f>_xlfn.XLOOKUP(C810,'Allow&amp;Disa Exp by Truelayer cat'!$B:$B,'Allow&amp;Disa Exp by Truelayer cat'!$E:$E)</f>
        <v>Add back to income</v>
      </c>
    </row>
    <row r="811" spans="1:6" x14ac:dyDescent="0.25">
      <c r="A811" t="s">
        <v>1710</v>
      </c>
      <c r="B811" t="s">
        <v>1762</v>
      </c>
      <c r="C811" t="s">
        <v>429</v>
      </c>
      <c r="D811" t="str">
        <f>_xlfn.XLOOKUP(C811,'Allow&amp;Disa Exp by Truelayer cat'!$B:$B,'Allow&amp;Disa Exp by Truelayer cat'!$C:$C)</f>
        <v>Disallowable</v>
      </c>
      <c r="E811" s="116">
        <f>_xlfn.XLOOKUP(C811,'Allow&amp;Disa Exp by Truelayer cat'!$B:$B,'Allow&amp;Disa Exp by Truelayer cat'!$D:$D)</f>
        <v>0</v>
      </c>
      <c r="F811" t="str">
        <f>_xlfn.XLOOKUP(C811,'Allow&amp;Disa Exp by Truelayer cat'!$B:$B,'Allow&amp;Disa Exp by Truelayer cat'!$E:$E)</f>
        <v>Add back to income</v>
      </c>
    </row>
    <row r="812" spans="1:6" x14ac:dyDescent="0.25">
      <c r="A812" t="s">
        <v>1710</v>
      </c>
      <c r="B812" t="s">
        <v>1763</v>
      </c>
      <c r="C812" t="s">
        <v>427</v>
      </c>
      <c r="D812" t="str">
        <f>_xlfn.XLOOKUP(C812,'Allow&amp;Disa Exp by Truelayer cat'!$B:$B,'Allow&amp;Disa Exp by Truelayer cat'!$C:$C)</f>
        <v>Allowable if under £500</v>
      </c>
      <c r="E812" s="116">
        <f>_xlfn.XLOOKUP(C812,'Allow&amp;Disa Exp by Truelayer cat'!$B:$B,'Allow&amp;Disa Exp by Truelayer cat'!$D:$D)</f>
        <v>0</v>
      </c>
      <c r="F812" t="str">
        <f>_xlfn.XLOOKUP(C812,'Allow&amp;Disa Exp by Truelayer cat'!$B:$B,'Allow&amp;Disa Exp by Truelayer cat'!$E:$E)</f>
        <v>Deduct from expenses if under £500</v>
      </c>
    </row>
    <row r="813" spans="1:6" x14ac:dyDescent="0.25">
      <c r="A813" t="s">
        <v>1710</v>
      </c>
      <c r="B813" t="s">
        <v>1764</v>
      </c>
      <c r="C813" t="s">
        <v>487</v>
      </c>
      <c r="D813" t="str">
        <f>_xlfn.XLOOKUP(C813,'Allow&amp;Disa Exp by Truelayer cat'!$B:$B,'Allow&amp;Disa Exp by Truelayer cat'!$C:$C)</f>
        <v>Allowable</v>
      </c>
      <c r="E813" s="116">
        <f>_xlfn.XLOOKUP(C813,'Allow&amp;Disa Exp by Truelayer cat'!$B:$B,'Allow&amp;Disa Exp by Truelayer cat'!$D:$D)</f>
        <v>0</v>
      </c>
      <c r="F813" t="str">
        <f>_xlfn.XLOOKUP(C813,'Allow&amp;Disa Exp by Truelayer cat'!$B:$B,'Allow&amp;Disa Exp by Truelayer cat'!$E:$E)</f>
        <v>Deduct from expenses</v>
      </c>
    </row>
    <row r="814" spans="1:6" ht="75" x14ac:dyDescent="0.25">
      <c r="A814" t="s">
        <v>1710</v>
      </c>
      <c r="B814" t="s">
        <v>1765</v>
      </c>
      <c r="C814" t="s">
        <v>376</v>
      </c>
      <c r="D814" t="str">
        <f>_xlfn.XLOOKUP(C814,'Allow&amp;Disa Exp by Truelayer cat'!$B:$B,'Allow&amp;Disa Exp by Truelayer cat'!$C:$C)</f>
        <v>Review</v>
      </c>
      <c r="E814" s="116" t="str">
        <f>_xlfn.XLOOKUP(C814,'Allow&amp;Disa Exp by Truelayer cat'!$B:$B,'Allow&amp;Disa Exp by Truelayer cat'!$D:$D)</f>
        <v>"Oh! Im not sure what this may be. Help me with this and I sure won't forget the next time" (Then give listing of what is shown in this list, and then ask if this is for trade.)</v>
      </c>
      <c r="F814" t="str">
        <f>_xlfn.XLOOKUP(C814,'Allow&amp;Disa Exp by Truelayer cat'!$B:$B,'Allow&amp;Disa Exp by Truelayer cat'!$E:$E)</f>
        <v xml:space="preserve"> If not for trade, then disallow and add back to income. - Prompt user to add receipt for VAT or just evidence</v>
      </c>
    </row>
    <row r="815" spans="1:6" ht="75" x14ac:dyDescent="0.25">
      <c r="A815" t="s">
        <v>1710</v>
      </c>
      <c r="B815" t="s">
        <v>1766</v>
      </c>
      <c r="C815" t="s">
        <v>376</v>
      </c>
      <c r="D815" t="str">
        <f>_xlfn.XLOOKUP(C815,'Allow&amp;Disa Exp by Truelayer cat'!$B:$B,'Allow&amp;Disa Exp by Truelayer cat'!$C:$C)</f>
        <v>Review</v>
      </c>
      <c r="E815" s="116" t="str">
        <f>_xlfn.XLOOKUP(C815,'Allow&amp;Disa Exp by Truelayer cat'!$B:$B,'Allow&amp;Disa Exp by Truelayer cat'!$D:$D)</f>
        <v>"Oh! Im not sure what this may be. Help me with this and I sure won't forget the next time" (Then give listing of what is shown in this list, and then ask if this is for trade.)</v>
      </c>
      <c r="F815" t="str">
        <f>_xlfn.XLOOKUP(C815,'Allow&amp;Disa Exp by Truelayer cat'!$B:$B,'Allow&amp;Disa Exp by Truelayer cat'!$E:$E)</f>
        <v xml:space="preserve"> If not for trade, then disallow and add back to income. - Prompt user to add receipt for VAT or just evidence</v>
      </c>
    </row>
    <row r="816" spans="1:6" x14ac:dyDescent="0.25">
      <c r="A816" t="s">
        <v>1710</v>
      </c>
      <c r="B816" t="s">
        <v>1767</v>
      </c>
      <c r="C816" t="s">
        <v>107</v>
      </c>
      <c r="D816" t="str">
        <f>_xlfn.XLOOKUP(C816,'Allow&amp;Disa Exp by Truelayer cat'!$B:$B,'Allow&amp;Disa Exp by Truelayer cat'!$C:$C)</f>
        <v>Disallowable</v>
      </c>
      <c r="E816" s="116">
        <f>_xlfn.XLOOKUP(C816,'Allow&amp;Disa Exp by Truelayer cat'!$B:$B,'Allow&amp;Disa Exp by Truelayer cat'!$D:$D)</f>
        <v>0</v>
      </c>
      <c r="F816" t="str">
        <f>_xlfn.XLOOKUP(C816,'Allow&amp;Disa Exp by Truelayer cat'!$B:$B,'Allow&amp;Disa Exp by Truelayer cat'!$E:$E)</f>
        <v>Add back to income</v>
      </c>
    </row>
    <row r="817" spans="1:6" ht="45" x14ac:dyDescent="0.25">
      <c r="A817" t="s">
        <v>1710</v>
      </c>
      <c r="B817" t="s">
        <v>1768</v>
      </c>
      <c r="C817" t="s">
        <v>411</v>
      </c>
      <c r="D817" t="str">
        <f>_xlfn.XLOOKUP(C817,'Allow&amp;Disa Exp by Truelayer cat'!$B:$B,'Allow&amp;Disa Exp by Truelayer cat'!$C:$C)</f>
        <v>Review</v>
      </c>
      <c r="E817" s="116" t="str">
        <f>_xlfn.XLOOKUP(C817,'Allow&amp;Disa Exp by Truelayer cat'!$B:$B,'Allow&amp;Disa Exp by Truelayer cat'!$D:$D)</f>
        <v>"Is this music for business…or just to keep you dancing while doing the dishes?"</v>
      </c>
      <c r="F817" t="str">
        <f>_xlfn.XLOOKUP(C817,'Allow&amp;Disa Exp by Truelayer cat'!$B:$B,'Allow&amp;Disa Exp by Truelayer cat'!$E:$E)</f>
        <v xml:space="preserve"> If not for trade, then disallow and add back to income. - Prompt user to add receipt for VAT or just evidence</v>
      </c>
    </row>
    <row r="818" spans="1:6" ht="60" x14ac:dyDescent="0.25">
      <c r="A818" t="s">
        <v>1710</v>
      </c>
      <c r="B818" t="s">
        <v>1769</v>
      </c>
      <c r="C818" t="s">
        <v>423</v>
      </c>
      <c r="D818" t="str">
        <f>_xlfn.XLOOKUP(C818,'Allow&amp;Disa Exp by Truelayer cat'!$B:$B,'Allow&amp;Disa Exp by Truelayer cat'!$C:$C)</f>
        <v>Review</v>
      </c>
      <c r="E818" s="116" t="str">
        <f>_xlfn.XLOOKUP(C818,'Allow&amp;Disa Exp by Truelayer cat'!$B:$B,'Allow&amp;Disa Exp by Truelayer cat'!$D:$D)</f>
        <v>"We see you've bought some groceries! Was this grocery haul fuel for your business….or just dinner?"</v>
      </c>
      <c r="F818" t="str">
        <f>_xlfn.XLOOKUP(C818,'Allow&amp;Disa Exp by Truelayer cat'!$B:$B,'Allow&amp;Disa Exp by Truelayer cat'!$E:$E)</f>
        <v xml:space="preserve"> If not for trade, then disallow and add back to income. - Prompt user to add receipt for VAT or just evidence</v>
      </c>
    </row>
    <row r="819" spans="1:6" ht="75" x14ac:dyDescent="0.25">
      <c r="A819" t="s">
        <v>1710</v>
      </c>
      <c r="B819" t="s">
        <v>1770</v>
      </c>
      <c r="C819" t="s">
        <v>376</v>
      </c>
      <c r="D819" t="str">
        <f>_xlfn.XLOOKUP(C819,'Allow&amp;Disa Exp by Truelayer cat'!$B:$B,'Allow&amp;Disa Exp by Truelayer cat'!$C:$C)</f>
        <v>Review</v>
      </c>
      <c r="E819" s="116" t="str">
        <f>_xlfn.XLOOKUP(C819,'Allow&amp;Disa Exp by Truelayer cat'!$B:$B,'Allow&amp;Disa Exp by Truelayer cat'!$D:$D)</f>
        <v>"Oh! Im not sure what this may be. Help me with this and I sure won't forget the next time" (Then give listing of what is shown in this list, and then ask if this is for trade.)</v>
      </c>
      <c r="F819" t="str">
        <f>_xlfn.XLOOKUP(C819,'Allow&amp;Disa Exp by Truelayer cat'!$B:$B,'Allow&amp;Disa Exp by Truelayer cat'!$E:$E)</f>
        <v xml:space="preserve"> If not for trade, then disallow and add back to income. - Prompt user to add receipt for VAT or just evidence</v>
      </c>
    </row>
    <row r="820" spans="1:6" ht="75" x14ac:dyDescent="0.25">
      <c r="A820" t="s">
        <v>1710</v>
      </c>
      <c r="B820" t="s">
        <v>1771</v>
      </c>
      <c r="C820" t="s">
        <v>376</v>
      </c>
      <c r="D820" t="str">
        <f>_xlfn.XLOOKUP(C820,'Allow&amp;Disa Exp by Truelayer cat'!$B:$B,'Allow&amp;Disa Exp by Truelayer cat'!$C:$C)</f>
        <v>Review</v>
      </c>
      <c r="E820" s="116" t="str">
        <f>_xlfn.XLOOKUP(C820,'Allow&amp;Disa Exp by Truelayer cat'!$B:$B,'Allow&amp;Disa Exp by Truelayer cat'!$D:$D)</f>
        <v>"Oh! Im not sure what this may be. Help me with this and I sure won't forget the next time" (Then give listing of what is shown in this list, and then ask if this is for trade.)</v>
      </c>
      <c r="F820" t="str">
        <f>_xlfn.XLOOKUP(C820,'Allow&amp;Disa Exp by Truelayer cat'!$B:$B,'Allow&amp;Disa Exp by Truelayer cat'!$E:$E)</f>
        <v xml:space="preserve"> If not for trade, then disallow and add back to income. - Prompt user to add receipt for VAT or just evidence</v>
      </c>
    </row>
    <row r="821" spans="1:6" x14ac:dyDescent="0.25">
      <c r="A821" t="s">
        <v>1710</v>
      </c>
      <c r="B821" t="s">
        <v>1772</v>
      </c>
      <c r="C821" t="s">
        <v>107</v>
      </c>
      <c r="D821" t="str">
        <f>_xlfn.XLOOKUP(C821,'Allow&amp;Disa Exp by Truelayer cat'!$B:$B,'Allow&amp;Disa Exp by Truelayer cat'!$C:$C)</f>
        <v>Disallowable</v>
      </c>
      <c r="E821" s="116">
        <f>_xlfn.XLOOKUP(C821,'Allow&amp;Disa Exp by Truelayer cat'!$B:$B,'Allow&amp;Disa Exp by Truelayer cat'!$D:$D)</f>
        <v>0</v>
      </c>
      <c r="F821" t="str">
        <f>_xlfn.XLOOKUP(C821,'Allow&amp;Disa Exp by Truelayer cat'!$B:$B,'Allow&amp;Disa Exp by Truelayer cat'!$E:$E)</f>
        <v>Add back to income</v>
      </c>
    </row>
    <row r="822" spans="1:6" x14ac:dyDescent="0.25">
      <c r="A822" t="s">
        <v>1773</v>
      </c>
      <c r="B822" t="s">
        <v>1774</v>
      </c>
      <c r="C822" t="s">
        <v>487</v>
      </c>
      <c r="D822" t="str">
        <f>_xlfn.XLOOKUP(C822,'Allow&amp;Disa Exp by Truelayer cat'!$B:$B,'Allow&amp;Disa Exp by Truelayer cat'!$C:$C)</f>
        <v>Allowable</v>
      </c>
      <c r="E822" s="116">
        <f>_xlfn.XLOOKUP(C822,'Allow&amp;Disa Exp by Truelayer cat'!$B:$B,'Allow&amp;Disa Exp by Truelayer cat'!$D:$D)</f>
        <v>0</v>
      </c>
      <c r="F822" t="str">
        <f>_xlfn.XLOOKUP(C822,'Allow&amp;Disa Exp by Truelayer cat'!$B:$B,'Allow&amp;Disa Exp by Truelayer cat'!$E:$E)</f>
        <v>Deduct from expenses</v>
      </c>
    </row>
    <row r="823" spans="1:6" x14ac:dyDescent="0.25">
      <c r="A823" t="s">
        <v>1773</v>
      </c>
      <c r="B823" t="s">
        <v>1775</v>
      </c>
      <c r="C823" t="s">
        <v>487</v>
      </c>
      <c r="D823" t="str">
        <f>_xlfn.XLOOKUP(C823,'Allow&amp;Disa Exp by Truelayer cat'!$B:$B,'Allow&amp;Disa Exp by Truelayer cat'!$C:$C)</f>
        <v>Allowable</v>
      </c>
      <c r="E823" s="116">
        <f>_xlfn.XLOOKUP(C823,'Allow&amp;Disa Exp by Truelayer cat'!$B:$B,'Allow&amp;Disa Exp by Truelayer cat'!$D:$D)</f>
        <v>0</v>
      </c>
      <c r="F823" t="str">
        <f>_xlfn.XLOOKUP(C823,'Allow&amp;Disa Exp by Truelayer cat'!$B:$B,'Allow&amp;Disa Exp by Truelayer cat'!$E:$E)</f>
        <v>Deduct from expenses</v>
      </c>
    </row>
    <row r="824" spans="1:6" x14ac:dyDescent="0.25">
      <c r="A824" t="s">
        <v>1773</v>
      </c>
      <c r="B824" t="s">
        <v>1776</v>
      </c>
      <c r="C824" t="s">
        <v>487</v>
      </c>
      <c r="D824" t="str">
        <f>_xlfn.XLOOKUP(C824,'Allow&amp;Disa Exp by Truelayer cat'!$B:$B,'Allow&amp;Disa Exp by Truelayer cat'!$C:$C)</f>
        <v>Allowable</v>
      </c>
      <c r="E824" s="116">
        <f>_xlfn.XLOOKUP(C824,'Allow&amp;Disa Exp by Truelayer cat'!$B:$B,'Allow&amp;Disa Exp by Truelayer cat'!$D:$D)</f>
        <v>0</v>
      </c>
      <c r="F824" t="str">
        <f>_xlfn.XLOOKUP(C824,'Allow&amp;Disa Exp by Truelayer cat'!$B:$B,'Allow&amp;Disa Exp by Truelayer cat'!$E:$E)</f>
        <v>Deduct from expenses</v>
      </c>
    </row>
    <row r="825" spans="1:6" x14ac:dyDescent="0.25">
      <c r="A825" t="s">
        <v>1773</v>
      </c>
      <c r="B825" t="s">
        <v>1777</v>
      </c>
      <c r="C825" t="s">
        <v>487</v>
      </c>
      <c r="D825" t="str">
        <f>_xlfn.XLOOKUP(C825,'Allow&amp;Disa Exp by Truelayer cat'!$B:$B,'Allow&amp;Disa Exp by Truelayer cat'!$C:$C)</f>
        <v>Allowable</v>
      </c>
      <c r="E825" s="116">
        <f>_xlfn.XLOOKUP(C825,'Allow&amp;Disa Exp by Truelayer cat'!$B:$B,'Allow&amp;Disa Exp by Truelayer cat'!$D:$D)</f>
        <v>0</v>
      </c>
      <c r="F825" t="str">
        <f>_xlfn.XLOOKUP(C825,'Allow&amp;Disa Exp by Truelayer cat'!$B:$B,'Allow&amp;Disa Exp by Truelayer cat'!$E:$E)</f>
        <v>Deduct from expenses</v>
      </c>
    </row>
    <row r="826" spans="1:6" x14ac:dyDescent="0.25">
      <c r="A826" t="s">
        <v>1773</v>
      </c>
      <c r="B826" t="s">
        <v>1254</v>
      </c>
      <c r="C826" t="s">
        <v>487</v>
      </c>
      <c r="D826" t="str">
        <f>_xlfn.XLOOKUP(C826,'Allow&amp;Disa Exp by Truelayer cat'!$B:$B,'Allow&amp;Disa Exp by Truelayer cat'!$C:$C)</f>
        <v>Allowable</v>
      </c>
      <c r="E826" s="116">
        <f>_xlfn.XLOOKUP(C826,'Allow&amp;Disa Exp by Truelayer cat'!$B:$B,'Allow&amp;Disa Exp by Truelayer cat'!$D:$D)</f>
        <v>0</v>
      </c>
      <c r="F826" t="str">
        <f>_xlfn.XLOOKUP(C826,'Allow&amp;Disa Exp by Truelayer cat'!$B:$B,'Allow&amp;Disa Exp by Truelayer cat'!$E:$E)</f>
        <v>Deduct from expenses</v>
      </c>
    </row>
    <row r="827" spans="1:6" x14ac:dyDescent="0.25">
      <c r="A827" t="s">
        <v>1773</v>
      </c>
      <c r="B827" t="s">
        <v>1778</v>
      </c>
      <c r="C827" t="s">
        <v>487</v>
      </c>
      <c r="D827" t="str">
        <f>_xlfn.XLOOKUP(C827,'Allow&amp;Disa Exp by Truelayer cat'!$B:$B,'Allow&amp;Disa Exp by Truelayer cat'!$C:$C)</f>
        <v>Allowable</v>
      </c>
      <c r="E827" s="116">
        <f>_xlfn.XLOOKUP(C827,'Allow&amp;Disa Exp by Truelayer cat'!$B:$B,'Allow&amp;Disa Exp by Truelayer cat'!$D:$D)</f>
        <v>0</v>
      </c>
      <c r="F827" t="str">
        <f>_xlfn.XLOOKUP(C827,'Allow&amp;Disa Exp by Truelayer cat'!$B:$B,'Allow&amp;Disa Exp by Truelayer cat'!$E:$E)</f>
        <v>Deduct from expenses</v>
      </c>
    </row>
    <row r="828" spans="1:6" x14ac:dyDescent="0.25">
      <c r="A828" t="s">
        <v>1773</v>
      </c>
      <c r="B828" t="s">
        <v>1328</v>
      </c>
      <c r="C828" t="s">
        <v>487</v>
      </c>
      <c r="D828" t="str">
        <f>_xlfn.XLOOKUP(C828,'Allow&amp;Disa Exp by Truelayer cat'!$B:$B,'Allow&amp;Disa Exp by Truelayer cat'!$C:$C)</f>
        <v>Allowable</v>
      </c>
      <c r="E828" s="116">
        <f>_xlfn.XLOOKUP(C828,'Allow&amp;Disa Exp by Truelayer cat'!$B:$B,'Allow&amp;Disa Exp by Truelayer cat'!$D:$D)</f>
        <v>0</v>
      </c>
      <c r="F828" t="str">
        <f>_xlfn.XLOOKUP(C828,'Allow&amp;Disa Exp by Truelayer cat'!$B:$B,'Allow&amp;Disa Exp by Truelayer cat'!$E:$E)</f>
        <v>Deduct from expenses</v>
      </c>
    </row>
    <row r="829" spans="1:6" x14ac:dyDescent="0.25">
      <c r="A829" t="s">
        <v>1773</v>
      </c>
      <c r="B829" t="s">
        <v>1380</v>
      </c>
      <c r="C829" t="s">
        <v>487</v>
      </c>
      <c r="D829" t="str">
        <f>_xlfn.XLOOKUP(C829,'Allow&amp;Disa Exp by Truelayer cat'!$B:$B,'Allow&amp;Disa Exp by Truelayer cat'!$C:$C)</f>
        <v>Allowable</v>
      </c>
      <c r="E829" s="116">
        <f>_xlfn.XLOOKUP(C829,'Allow&amp;Disa Exp by Truelayer cat'!$B:$B,'Allow&amp;Disa Exp by Truelayer cat'!$D:$D)</f>
        <v>0</v>
      </c>
      <c r="F829" t="str">
        <f>_xlfn.XLOOKUP(C829,'Allow&amp;Disa Exp by Truelayer cat'!$B:$B,'Allow&amp;Disa Exp by Truelayer cat'!$E:$E)</f>
        <v>Deduct from expenses</v>
      </c>
    </row>
    <row r="830" spans="1:6" x14ac:dyDescent="0.25">
      <c r="A830" t="s">
        <v>1773</v>
      </c>
      <c r="B830" t="s">
        <v>1779</v>
      </c>
      <c r="C830" t="s">
        <v>487</v>
      </c>
      <c r="D830" t="str">
        <f>_xlfn.XLOOKUP(C830,'Allow&amp;Disa Exp by Truelayer cat'!$B:$B,'Allow&amp;Disa Exp by Truelayer cat'!$C:$C)</f>
        <v>Allowable</v>
      </c>
      <c r="E830" s="116">
        <f>_xlfn.XLOOKUP(C830,'Allow&amp;Disa Exp by Truelayer cat'!$B:$B,'Allow&amp;Disa Exp by Truelayer cat'!$D:$D)</f>
        <v>0</v>
      </c>
      <c r="F830" t="str">
        <f>_xlfn.XLOOKUP(C830,'Allow&amp;Disa Exp by Truelayer cat'!$B:$B,'Allow&amp;Disa Exp by Truelayer cat'!$E:$E)</f>
        <v>Deduct from expenses</v>
      </c>
    </row>
    <row r="831" spans="1:6" x14ac:dyDescent="0.25">
      <c r="A831" t="s">
        <v>1773</v>
      </c>
      <c r="B831" t="s">
        <v>1780</v>
      </c>
      <c r="C831" t="s">
        <v>487</v>
      </c>
      <c r="D831" t="str">
        <f>_xlfn.XLOOKUP(C831,'Allow&amp;Disa Exp by Truelayer cat'!$B:$B,'Allow&amp;Disa Exp by Truelayer cat'!$C:$C)</f>
        <v>Allowable</v>
      </c>
      <c r="E831" s="116">
        <f>_xlfn.XLOOKUP(C831,'Allow&amp;Disa Exp by Truelayer cat'!$B:$B,'Allow&amp;Disa Exp by Truelayer cat'!$D:$D)</f>
        <v>0</v>
      </c>
      <c r="F831" t="str">
        <f>_xlfn.XLOOKUP(C831,'Allow&amp;Disa Exp by Truelayer cat'!$B:$B,'Allow&amp;Disa Exp by Truelayer cat'!$E:$E)</f>
        <v>Deduct from expenses</v>
      </c>
    </row>
    <row r="832" spans="1:6" x14ac:dyDescent="0.25">
      <c r="A832" t="s">
        <v>1773</v>
      </c>
      <c r="B832" t="s">
        <v>1781</v>
      </c>
      <c r="C832" t="s">
        <v>487</v>
      </c>
      <c r="D832" t="str">
        <f>_xlfn.XLOOKUP(C832,'Allow&amp;Disa Exp by Truelayer cat'!$B:$B,'Allow&amp;Disa Exp by Truelayer cat'!$C:$C)</f>
        <v>Allowable</v>
      </c>
      <c r="E832" s="116">
        <f>_xlfn.XLOOKUP(C832,'Allow&amp;Disa Exp by Truelayer cat'!$B:$B,'Allow&amp;Disa Exp by Truelayer cat'!$D:$D)</f>
        <v>0</v>
      </c>
      <c r="F832" t="str">
        <f>_xlfn.XLOOKUP(C832,'Allow&amp;Disa Exp by Truelayer cat'!$B:$B,'Allow&amp;Disa Exp by Truelayer cat'!$E:$E)</f>
        <v>Deduct from expenses</v>
      </c>
    </row>
    <row r="833" spans="1:6" x14ac:dyDescent="0.25">
      <c r="A833" t="s">
        <v>1773</v>
      </c>
      <c r="B833" t="s">
        <v>1782</v>
      </c>
      <c r="C833" t="s">
        <v>487</v>
      </c>
      <c r="D833" t="str">
        <f>_xlfn.XLOOKUP(C833,'Allow&amp;Disa Exp by Truelayer cat'!$B:$B,'Allow&amp;Disa Exp by Truelayer cat'!$C:$C)</f>
        <v>Allowable</v>
      </c>
      <c r="E833" s="116">
        <f>_xlfn.XLOOKUP(C833,'Allow&amp;Disa Exp by Truelayer cat'!$B:$B,'Allow&amp;Disa Exp by Truelayer cat'!$D:$D)</f>
        <v>0</v>
      </c>
      <c r="F833" t="str">
        <f>_xlfn.XLOOKUP(C833,'Allow&amp;Disa Exp by Truelayer cat'!$B:$B,'Allow&amp;Disa Exp by Truelayer cat'!$E:$E)</f>
        <v>Deduct from expenses</v>
      </c>
    </row>
    <row r="834" spans="1:6" x14ac:dyDescent="0.25">
      <c r="A834" t="s">
        <v>1783</v>
      </c>
      <c r="B834" t="s">
        <v>1784</v>
      </c>
      <c r="C834" t="s">
        <v>463</v>
      </c>
      <c r="D834" t="str">
        <f>_xlfn.XLOOKUP(C834,'Allow&amp;Disa Exp by Truelayer cat'!$B:$B,'Allow&amp;Disa Exp by Truelayer cat'!$C:$C)</f>
        <v>Allowable</v>
      </c>
      <c r="E834" s="116">
        <f>_xlfn.XLOOKUP(C834,'Allow&amp;Disa Exp by Truelayer cat'!$B:$B,'Allow&amp;Disa Exp by Truelayer cat'!$D:$D)</f>
        <v>0</v>
      </c>
      <c r="F834" t="str">
        <f>_xlfn.XLOOKUP(C834,'Allow&amp;Disa Exp by Truelayer cat'!$B:$B,'Allow&amp;Disa Exp by Truelayer cat'!$E:$E)</f>
        <v>Deduct from expenses</v>
      </c>
    </row>
    <row r="835" spans="1:6" x14ac:dyDescent="0.25">
      <c r="A835" t="s">
        <v>1783</v>
      </c>
      <c r="B835" t="s">
        <v>1785</v>
      </c>
      <c r="C835" t="s">
        <v>463</v>
      </c>
      <c r="D835" t="str">
        <f>_xlfn.XLOOKUP(C835,'Allow&amp;Disa Exp by Truelayer cat'!$B:$B,'Allow&amp;Disa Exp by Truelayer cat'!$C:$C)</f>
        <v>Allowable</v>
      </c>
      <c r="E835" s="116">
        <f>_xlfn.XLOOKUP(C835,'Allow&amp;Disa Exp by Truelayer cat'!$B:$B,'Allow&amp;Disa Exp by Truelayer cat'!$D:$D)</f>
        <v>0</v>
      </c>
      <c r="F835" t="str">
        <f>_xlfn.XLOOKUP(C835,'Allow&amp;Disa Exp by Truelayer cat'!$B:$B,'Allow&amp;Disa Exp by Truelayer cat'!$E:$E)</f>
        <v>Deduct from expenses</v>
      </c>
    </row>
    <row r="836" spans="1:6" x14ac:dyDescent="0.25">
      <c r="A836" t="s">
        <v>1783</v>
      </c>
      <c r="B836" t="s">
        <v>1786</v>
      </c>
      <c r="C836" t="s">
        <v>463</v>
      </c>
      <c r="D836" t="str">
        <f>_xlfn.XLOOKUP(C836,'Allow&amp;Disa Exp by Truelayer cat'!$B:$B,'Allow&amp;Disa Exp by Truelayer cat'!$C:$C)</f>
        <v>Allowable</v>
      </c>
      <c r="E836" s="116">
        <f>_xlfn.XLOOKUP(C836,'Allow&amp;Disa Exp by Truelayer cat'!$B:$B,'Allow&amp;Disa Exp by Truelayer cat'!$D:$D)</f>
        <v>0</v>
      </c>
      <c r="F836" t="str">
        <f>_xlfn.XLOOKUP(C836,'Allow&amp;Disa Exp by Truelayer cat'!$B:$B,'Allow&amp;Disa Exp by Truelayer cat'!$E:$E)</f>
        <v>Deduct from expenses</v>
      </c>
    </row>
    <row r="837" spans="1:6" x14ac:dyDescent="0.25">
      <c r="A837" t="s">
        <v>1783</v>
      </c>
      <c r="B837" t="s">
        <v>1787</v>
      </c>
      <c r="C837" t="s">
        <v>463</v>
      </c>
      <c r="D837" t="str">
        <f>_xlfn.XLOOKUP(C837,'Allow&amp;Disa Exp by Truelayer cat'!$B:$B,'Allow&amp;Disa Exp by Truelayer cat'!$C:$C)</f>
        <v>Allowable</v>
      </c>
      <c r="E837" s="116">
        <f>_xlfn.XLOOKUP(C837,'Allow&amp;Disa Exp by Truelayer cat'!$B:$B,'Allow&amp;Disa Exp by Truelayer cat'!$D:$D)</f>
        <v>0</v>
      </c>
      <c r="F837" t="str">
        <f>_xlfn.XLOOKUP(C837,'Allow&amp;Disa Exp by Truelayer cat'!$B:$B,'Allow&amp;Disa Exp by Truelayer cat'!$E:$E)</f>
        <v>Deduct from expenses</v>
      </c>
    </row>
    <row r="838" spans="1:6" x14ac:dyDescent="0.25">
      <c r="A838" t="s">
        <v>1783</v>
      </c>
      <c r="B838" t="s">
        <v>1788</v>
      </c>
      <c r="C838" t="s">
        <v>463</v>
      </c>
      <c r="D838" t="str">
        <f>_xlfn.XLOOKUP(C838,'Allow&amp;Disa Exp by Truelayer cat'!$B:$B,'Allow&amp;Disa Exp by Truelayer cat'!$C:$C)</f>
        <v>Allowable</v>
      </c>
      <c r="E838" s="116">
        <f>_xlfn.XLOOKUP(C838,'Allow&amp;Disa Exp by Truelayer cat'!$B:$B,'Allow&amp;Disa Exp by Truelayer cat'!$D:$D)</f>
        <v>0</v>
      </c>
      <c r="F838" t="str">
        <f>_xlfn.XLOOKUP(C838,'Allow&amp;Disa Exp by Truelayer cat'!$B:$B,'Allow&amp;Disa Exp by Truelayer cat'!$E:$E)</f>
        <v>Deduct from expenses</v>
      </c>
    </row>
    <row r="839" spans="1:6" x14ac:dyDescent="0.25">
      <c r="A839" t="s">
        <v>1783</v>
      </c>
      <c r="B839" t="s">
        <v>1789</v>
      </c>
      <c r="C839" t="s">
        <v>463</v>
      </c>
      <c r="D839" t="str">
        <f>_xlfn.XLOOKUP(C839,'Allow&amp;Disa Exp by Truelayer cat'!$B:$B,'Allow&amp;Disa Exp by Truelayer cat'!$C:$C)</f>
        <v>Allowable</v>
      </c>
      <c r="E839" s="116">
        <f>_xlfn.XLOOKUP(C839,'Allow&amp;Disa Exp by Truelayer cat'!$B:$B,'Allow&amp;Disa Exp by Truelayer cat'!$D:$D)</f>
        <v>0</v>
      </c>
      <c r="F839" t="str">
        <f>_xlfn.XLOOKUP(C839,'Allow&amp;Disa Exp by Truelayer cat'!$B:$B,'Allow&amp;Disa Exp by Truelayer cat'!$E:$E)</f>
        <v>Deduct from expenses</v>
      </c>
    </row>
    <row r="840" spans="1:6" x14ac:dyDescent="0.25">
      <c r="A840" t="s">
        <v>1783</v>
      </c>
      <c r="B840" t="s">
        <v>1790</v>
      </c>
      <c r="C840" t="s">
        <v>463</v>
      </c>
      <c r="D840" t="str">
        <f>_xlfn.XLOOKUP(C840,'Allow&amp;Disa Exp by Truelayer cat'!$B:$B,'Allow&amp;Disa Exp by Truelayer cat'!$C:$C)</f>
        <v>Allowable</v>
      </c>
      <c r="E840" s="116">
        <f>_xlfn.XLOOKUP(C840,'Allow&amp;Disa Exp by Truelayer cat'!$B:$B,'Allow&amp;Disa Exp by Truelayer cat'!$D:$D)</f>
        <v>0</v>
      </c>
      <c r="F840" t="str">
        <f>_xlfn.XLOOKUP(C840,'Allow&amp;Disa Exp by Truelayer cat'!$B:$B,'Allow&amp;Disa Exp by Truelayer cat'!$E:$E)</f>
        <v>Deduct from expenses</v>
      </c>
    </row>
    <row r="841" spans="1:6" x14ac:dyDescent="0.25">
      <c r="A841" t="s">
        <v>1783</v>
      </c>
      <c r="B841" t="s">
        <v>1791</v>
      </c>
      <c r="C841" t="s">
        <v>463</v>
      </c>
      <c r="D841" t="str">
        <f>_xlfn.XLOOKUP(C841,'Allow&amp;Disa Exp by Truelayer cat'!$B:$B,'Allow&amp;Disa Exp by Truelayer cat'!$C:$C)</f>
        <v>Allowable</v>
      </c>
      <c r="E841" s="116">
        <f>_xlfn.XLOOKUP(C841,'Allow&amp;Disa Exp by Truelayer cat'!$B:$B,'Allow&amp;Disa Exp by Truelayer cat'!$D:$D)</f>
        <v>0</v>
      </c>
      <c r="F841" t="str">
        <f>_xlfn.XLOOKUP(C841,'Allow&amp;Disa Exp by Truelayer cat'!$B:$B,'Allow&amp;Disa Exp by Truelayer cat'!$E:$E)</f>
        <v>Deduct from expenses</v>
      </c>
    </row>
    <row r="842" spans="1:6" x14ac:dyDescent="0.25">
      <c r="A842" t="s">
        <v>1783</v>
      </c>
      <c r="B842" t="s">
        <v>1792</v>
      </c>
      <c r="C842" t="s">
        <v>463</v>
      </c>
      <c r="D842" t="str">
        <f>_xlfn.XLOOKUP(C842,'Allow&amp;Disa Exp by Truelayer cat'!$B:$B,'Allow&amp;Disa Exp by Truelayer cat'!$C:$C)</f>
        <v>Allowable</v>
      </c>
      <c r="E842" s="116">
        <f>_xlfn.XLOOKUP(C842,'Allow&amp;Disa Exp by Truelayer cat'!$B:$B,'Allow&amp;Disa Exp by Truelayer cat'!$D:$D)</f>
        <v>0</v>
      </c>
      <c r="F842" t="str">
        <f>_xlfn.XLOOKUP(C842,'Allow&amp;Disa Exp by Truelayer cat'!$B:$B,'Allow&amp;Disa Exp by Truelayer cat'!$E:$E)</f>
        <v>Deduct from expenses</v>
      </c>
    </row>
    <row r="843" spans="1:6" x14ac:dyDescent="0.25">
      <c r="A843" t="s">
        <v>1783</v>
      </c>
      <c r="B843" t="s">
        <v>1793</v>
      </c>
      <c r="C843" t="s">
        <v>463</v>
      </c>
      <c r="D843" t="str">
        <f>_xlfn.XLOOKUP(C843,'Allow&amp;Disa Exp by Truelayer cat'!$B:$B,'Allow&amp;Disa Exp by Truelayer cat'!$C:$C)</f>
        <v>Allowable</v>
      </c>
      <c r="E843" s="116">
        <f>_xlfn.XLOOKUP(C843,'Allow&amp;Disa Exp by Truelayer cat'!$B:$B,'Allow&amp;Disa Exp by Truelayer cat'!$D:$D)</f>
        <v>0</v>
      </c>
      <c r="F843" t="str">
        <f>_xlfn.XLOOKUP(C843,'Allow&amp;Disa Exp by Truelayer cat'!$B:$B,'Allow&amp;Disa Exp by Truelayer cat'!$E:$E)</f>
        <v>Deduct from expenses</v>
      </c>
    </row>
    <row r="844" spans="1:6" x14ac:dyDescent="0.25">
      <c r="A844" t="s">
        <v>1783</v>
      </c>
      <c r="B844" t="s">
        <v>1794</v>
      </c>
      <c r="C844" t="s">
        <v>463</v>
      </c>
      <c r="D844" t="str">
        <f>_xlfn.XLOOKUP(C844,'Allow&amp;Disa Exp by Truelayer cat'!$B:$B,'Allow&amp;Disa Exp by Truelayer cat'!$C:$C)</f>
        <v>Allowable</v>
      </c>
      <c r="E844" s="116">
        <f>_xlfn.XLOOKUP(C844,'Allow&amp;Disa Exp by Truelayer cat'!$B:$B,'Allow&amp;Disa Exp by Truelayer cat'!$D:$D)</f>
        <v>0</v>
      </c>
      <c r="F844" t="str">
        <f>_xlfn.XLOOKUP(C844,'Allow&amp;Disa Exp by Truelayer cat'!$B:$B,'Allow&amp;Disa Exp by Truelayer cat'!$E:$E)</f>
        <v>Deduct from expenses</v>
      </c>
    </row>
    <row r="845" spans="1:6" x14ac:dyDescent="0.25">
      <c r="A845" t="s">
        <v>1783</v>
      </c>
      <c r="B845" t="s">
        <v>1795</v>
      </c>
      <c r="C845" t="s">
        <v>463</v>
      </c>
      <c r="D845" t="str">
        <f>_xlfn.XLOOKUP(C845,'Allow&amp;Disa Exp by Truelayer cat'!$B:$B,'Allow&amp;Disa Exp by Truelayer cat'!$C:$C)</f>
        <v>Allowable</v>
      </c>
      <c r="E845" s="116">
        <f>_xlfn.XLOOKUP(C845,'Allow&amp;Disa Exp by Truelayer cat'!$B:$B,'Allow&amp;Disa Exp by Truelayer cat'!$D:$D)</f>
        <v>0</v>
      </c>
      <c r="F845" t="str">
        <f>_xlfn.XLOOKUP(C845,'Allow&amp;Disa Exp by Truelayer cat'!$B:$B,'Allow&amp;Disa Exp by Truelayer cat'!$E:$E)</f>
        <v>Deduct from expenses</v>
      </c>
    </row>
    <row r="846" spans="1:6" x14ac:dyDescent="0.25">
      <c r="A846" t="s">
        <v>1783</v>
      </c>
      <c r="B846" t="s">
        <v>1796</v>
      </c>
      <c r="C846" t="s">
        <v>463</v>
      </c>
      <c r="D846" t="str">
        <f>_xlfn.XLOOKUP(C846,'Allow&amp;Disa Exp by Truelayer cat'!$B:$B,'Allow&amp;Disa Exp by Truelayer cat'!$C:$C)</f>
        <v>Allowable</v>
      </c>
      <c r="E846" s="116">
        <f>_xlfn.XLOOKUP(C846,'Allow&amp;Disa Exp by Truelayer cat'!$B:$B,'Allow&amp;Disa Exp by Truelayer cat'!$D:$D)</f>
        <v>0</v>
      </c>
      <c r="F846" t="str">
        <f>_xlfn.XLOOKUP(C846,'Allow&amp;Disa Exp by Truelayer cat'!$B:$B,'Allow&amp;Disa Exp by Truelayer cat'!$E:$E)</f>
        <v>Deduct from expenses</v>
      </c>
    </row>
    <row r="847" spans="1:6" x14ac:dyDescent="0.25">
      <c r="A847" t="s">
        <v>1783</v>
      </c>
      <c r="B847" t="s">
        <v>1797</v>
      </c>
      <c r="C847" t="s">
        <v>463</v>
      </c>
      <c r="D847" t="str">
        <f>_xlfn.XLOOKUP(C847,'Allow&amp;Disa Exp by Truelayer cat'!$B:$B,'Allow&amp;Disa Exp by Truelayer cat'!$C:$C)</f>
        <v>Allowable</v>
      </c>
      <c r="E847" s="116">
        <f>_xlfn.XLOOKUP(C847,'Allow&amp;Disa Exp by Truelayer cat'!$B:$B,'Allow&amp;Disa Exp by Truelayer cat'!$D:$D)</f>
        <v>0</v>
      </c>
      <c r="F847" t="str">
        <f>_xlfn.XLOOKUP(C847,'Allow&amp;Disa Exp by Truelayer cat'!$B:$B,'Allow&amp;Disa Exp by Truelayer cat'!$E:$E)</f>
        <v>Deduct from expenses</v>
      </c>
    </row>
    <row r="848" spans="1:6" x14ac:dyDescent="0.25">
      <c r="A848" t="s">
        <v>1783</v>
      </c>
      <c r="B848" t="s">
        <v>1798</v>
      </c>
      <c r="C848" t="s">
        <v>463</v>
      </c>
      <c r="D848" t="str">
        <f>_xlfn.XLOOKUP(C848,'Allow&amp;Disa Exp by Truelayer cat'!$B:$B,'Allow&amp;Disa Exp by Truelayer cat'!$C:$C)</f>
        <v>Allowable</v>
      </c>
      <c r="E848" s="116">
        <f>_xlfn.XLOOKUP(C848,'Allow&amp;Disa Exp by Truelayer cat'!$B:$B,'Allow&amp;Disa Exp by Truelayer cat'!$D:$D)</f>
        <v>0</v>
      </c>
      <c r="F848" t="str">
        <f>_xlfn.XLOOKUP(C848,'Allow&amp;Disa Exp by Truelayer cat'!$B:$B,'Allow&amp;Disa Exp by Truelayer cat'!$E:$E)</f>
        <v>Deduct from expenses</v>
      </c>
    </row>
    <row r="849" spans="1:6" x14ac:dyDescent="0.25">
      <c r="A849" t="s">
        <v>1783</v>
      </c>
      <c r="B849" t="s">
        <v>1799</v>
      </c>
      <c r="C849" t="s">
        <v>463</v>
      </c>
      <c r="D849" t="str">
        <f>_xlfn.XLOOKUP(C849,'Allow&amp;Disa Exp by Truelayer cat'!$B:$B,'Allow&amp;Disa Exp by Truelayer cat'!$C:$C)</f>
        <v>Allowable</v>
      </c>
      <c r="E849" s="116">
        <f>_xlfn.XLOOKUP(C849,'Allow&amp;Disa Exp by Truelayer cat'!$B:$B,'Allow&amp;Disa Exp by Truelayer cat'!$D:$D)</f>
        <v>0</v>
      </c>
      <c r="F849" t="str">
        <f>_xlfn.XLOOKUP(C849,'Allow&amp;Disa Exp by Truelayer cat'!$B:$B,'Allow&amp;Disa Exp by Truelayer cat'!$E:$E)</f>
        <v>Deduct from expenses</v>
      </c>
    </row>
    <row r="850" spans="1:6" x14ac:dyDescent="0.25">
      <c r="A850" t="s">
        <v>1783</v>
      </c>
      <c r="B850" t="s">
        <v>1800</v>
      </c>
      <c r="C850" t="s">
        <v>463</v>
      </c>
      <c r="D850" t="str">
        <f>_xlfn.XLOOKUP(C850,'Allow&amp;Disa Exp by Truelayer cat'!$B:$B,'Allow&amp;Disa Exp by Truelayer cat'!$C:$C)</f>
        <v>Allowable</v>
      </c>
      <c r="E850" s="116">
        <f>_xlfn.XLOOKUP(C850,'Allow&amp;Disa Exp by Truelayer cat'!$B:$B,'Allow&amp;Disa Exp by Truelayer cat'!$D:$D)</f>
        <v>0</v>
      </c>
      <c r="F850" t="str">
        <f>_xlfn.XLOOKUP(C850,'Allow&amp;Disa Exp by Truelayer cat'!$B:$B,'Allow&amp;Disa Exp by Truelayer cat'!$E:$E)</f>
        <v>Deduct from expenses</v>
      </c>
    </row>
    <row r="851" spans="1:6" x14ac:dyDescent="0.25">
      <c r="A851" t="s">
        <v>1783</v>
      </c>
      <c r="B851" t="s">
        <v>1801</v>
      </c>
      <c r="C851" t="s">
        <v>463</v>
      </c>
      <c r="D851" t="str">
        <f>_xlfn.XLOOKUP(C851,'Allow&amp;Disa Exp by Truelayer cat'!$B:$B,'Allow&amp;Disa Exp by Truelayer cat'!$C:$C)</f>
        <v>Allowable</v>
      </c>
      <c r="E851" s="116">
        <f>_xlfn.XLOOKUP(C851,'Allow&amp;Disa Exp by Truelayer cat'!$B:$B,'Allow&amp;Disa Exp by Truelayer cat'!$D:$D)</f>
        <v>0</v>
      </c>
      <c r="F851" t="str">
        <f>_xlfn.XLOOKUP(C851,'Allow&amp;Disa Exp by Truelayer cat'!$B:$B,'Allow&amp;Disa Exp by Truelayer cat'!$E:$E)</f>
        <v>Deduct from expenses</v>
      </c>
    </row>
    <row r="852" spans="1:6" x14ac:dyDescent="0.25">
      <c r="A852" t="s">
        <v>1783</v>
      </c>
      <c r="B852" t="s">
        <v>1802</v>
      </c>
      <c r="C852" t="s">
        <v>463</v>
      </c>
      <c r="D852" t="str">
        <f>_xlfn.XLOOKUP(C852,'Allow&amp;Disa Exp by Truelayer cat'!$B:$B,'Allow&amp;Disa Exp by Truelayer cat'!$C:$C)</f>
        <v>Allowable</v>
      </c>
      <c r="E852" s="116">
        <f>_xlfn.XLOOKUP(C852,'Allow&amp;Disa Exp by Truelayer cat'!$B:$B,'Allow&amp;Disa Exp by Truelayer cat'!$D:$D)</f>
        <v>0</v>
      </c>
      <c r="F852" t="str">
        <f>_xlfn.XLOOKUP(C852,'Allow&amp;Disa Exp by Truelayer cat'!$B:$B,'Allow&amp;Disa Exp by Truelayer cat'!$E:$E)</f>
        <v>Deduct from expenses</v>
      </c>
    </row>
    <row r="853" spans="1:6" x14ac:dyDescent="0.25">
      <c r="A853" t="s">
        <v>1783</v>
      </c>
      <c r="B853" t="s">
        <v>1803</v>
      </c>
      <c r="C853" t="s">
        <v>463</v>
      </c>
      <c r="D853" t="str">
        <f>_xlfn.XLOOKUP(C853,'Allow&amp;Disa Exp by Truelayer cat'!$B:$B,'Allow&amp;Disa Exp by Truelayer cat'!$C:$C)</f>
        <v>Allowable</v>
      </c>
      <c r="E853" s="116">
        <f>_xlfn.XLOOKUP(C853,'Allow&amp;Disa Exp by Truelayer cat'!$B:$B,'Allow&amp;Disa Exp by Truelayer cat'!$D:$D)</f>
        <v>0</v>
      </c>
      <c r="F853" t="str">
        <f>_xlfn.XLOOKUP(C853,'Allow&amp;Disa Exp by Truelayer cat'!$B:$B,'Allow&amp;Disa Exp by Truelayer cat'!$E:$E)</f>
        <v>Deduct from expenses</v>
      </c>
    </row>
    <row r="854" spans="1:6" x14ac:dyDescent="0.25">
      <c r="A854" t="s">
        <v>1783</v>
      </c>
      <c r="B854" t="s">
        <v>1804</v>
      </c>
      <c r="C854" t="s">
        <v>463</v>
      </c>
      <c r="D854" t="str">
        <f>_xlfn.XLOOKUP(C854,'Allow&amp;Disa Exp by Truelayer cat'!$B:$B,'Allow&amp;Disa Exp by Truelayer cat'!$C:$C)</f>
        <v>Allowable</v>
      </c>
      <c r="E854" s="116">
        <f>_xlfn.XLOOKUP(C854,'Allow&amp;Disa Exp by Truelayer cat'!$B:$B,'Allow&amp;Disa Exp by Truelayer cat'!$D:$D)</f>
        <v>0</v>
      </c>
      <c r="F854" t="str">
        <f>_xlfn.XLOOKUP(C854,'Allow&amp;Disa Exp by Truelayer cat'!$B:$B,'Allow&amp;Disa Exp by Truelayer cat'!$E:$E)</f>
        <v>Deduct from expenses</v>
      </c>
    </row>
    <row r="855" spans="1:6" x14ac:dyDescent="0.25">
      <c r="A855" t="s">
        <v>1783</v>
      </c>
      <c r="B855" t="s">
        <v>1805</v>
      </c>
      <c r="C855" t="s">
        <v>463</v>
      </c>
      <c r="D855" t="str">
        <f>_xlfn.XLOOKUP(C855,'Allow&amp;Disa Exp by Truelayer cat'!$B:$B,'Allow&amp;Disa Exp by Truelayer cat'!$C:$C)</f>
        <v>Allowable</v>
      </c>
      <c r="E855" s="116">
        <f>_xlfn.XLOOKUP(C855,'Allow&amp;Disa Exp by Truelayer cat'!$B:$B,'Allow&amp;Disa Exp by Truelayer cat'!$D:$D)</f>
        <v>0</v>
      </c>
      <c r="F855" t="str">
        <f>_xlfn.XLOOKUP(C855,'Allow&amp;Disa Exp by Truelayer cat'!$B:$B,'Allow&amp;Disa Exp by Truelayer cat'!$E:$E)</f>
        <v>Deduct from expenses</v>
      </c>
    </row>
    <row r="856" spans="1:6" x14ac:dyDescent="0.25">
      <c r="A856" t="s">
        <v>1783</v>
      </c>
      <c r="B856" t="s">
        <v>1806</v>
      </c>
      <c r="C856" t="s">
        <v>463</v>
      </c>
      <c r="D856" t="str">
        <f>_xlfn.XLOOKUP(C856,'Allow&amp;Disa Exp by Truelayer cat'!$B:$B,'Allow&amp;Disa Exp by Truelayer cat'!$C:$C)</f>
        <v>Allowable</v>
      </c>
      <c r="E856" s="116">
        <f>_xlfn.XLOOKUP(C856,'Allow&amp;Disa Exp by Truelayer cat'!$B:$B,'Allow&amp;Disa Exp by Truelayer cat'!$D:$D)</f>
        <v>0</v>
      </c>
      <c r="F856" t="str">
        <f>_xlfn.XLOOKUP(C856,'Allow&amp;Disa Exp by Truelayer cat'!$B:$B,'Allow&amp;Disa Exp by Truelayer cat'!$E:$E)</f>
        <v>Deduct from expenses</v>
      </c>
    </row>
    <row r="857" spans="1:6" x14ac:dyDescent="0.25">
      <c r="A857" t="s">
        <v>1783</v>
      </c>
      <c r="B857" t="s">
        <v>1807</v>
      </c>
      <c r="C857" t="s">
        <v>463</v>
      </c>
      <c r="D857" t="str">
        <f>_xlfn.XLOOKUP(C857,'Allow&amp;Disa Exp by Truelayer cat'!$B:$B,'Allow&amp;Disa Exp by Truelayer cat'!$C:$C)</f>
        <v>Allowable</v>
      </c>
      <c r="E857" s="116">
        <f>_xlfn.XLOOKUP(C857,'Allow&amp;Disa Exp by Truelayer cat'!$B:$B,'Allow&amp;Disa Exp by Truelayer cat'!$D:$D)</f>
        <v>0</v>
      </c>
      <c r="F857" t="str">
        <f>_xlfn.XLOOKUP(C857,'Allow&amp;Disa Exp by Truelayer cat'!$B:$B,'Allow&amp;Disa Exp by Truelayer cat'!$E:$E)</f>
        <v>Deduct from expenses</v>
      </c>
    </row>
    <row r="858" spans="1:6" x14ac:dyDescent="0.25">
      <c r="A858" t="s">
        <v>1783</v>
      </c>
      <c r="B858" t="s">
        <v>1808</v>
      </c>
      <c r="C858" t="s">
        <v>463</v>
      </c>
      <c r="D858" t="str">
        <f>_xlfn.XLOOKUP(C858,'Allow&amp;Disa Exp by Truelayer cat'!$B:$B,'Allow&amp;Disa Exp by Truelayer cat'!$C:$C)</f>
        <v>Allowable</v>
      </c>
      <c r="E858" s="116">
        <f>_xlfn.XLOOKUP(C858,'Allow&amp;Disa Exp by Truelayer cat'!$B:$B,'Allow&amp;Disa Exp by Truelayer cat'!$D:$D)</f>
        <v>0</v>
      </c>
      <c r="F858" t="str">
        <f>_xlfn.XLOOKUP(C858,'Allow&amp;Disa Exp by Truelayer cat'!$B:$B,'Allow&amp;Disa Exp by Truelayer cat'!$E:$E)</f>
        <v>Deduct from expenses</v>
      </c>
    </row>
    <row r="859" spans="1:6" x14ac:dyDescent="0.25">
      <c r="A859" t="s">
        <v>1783</v>
      </c>
      <c r="B859" t="s">
        <v>1809</v>
      </c>
      <c r="C859" t="s">
        <v>463</v>
      </c>
      <c r="D859" t="str">
        <f>_xlfn.XLOOKUP(C859,'Allow&amp;Disa Exp by Truelayer cat'!$B:$B,'Allow&amp;Disa Exp by Truelayer cat'!$C:$C)</f>
        <v>Allowable</v>
      </c>
      <c r="E859" s="116">
        <f>_xlfn.XLOOKUP(C859,'Allow&amp;Disa Exp by Truelayer cat'!$B:$B,'Allow&amp;Disa Exp by Truelayer cat'!$D:$D)</f>
        <v>0</v>
      </c>
      <c r="F859" t="str">
        <f>_xlfn.XLOOKUP(C859,'Allow&amp;Disa Exp by Truelayer cat'!$B:$B,'Allow&amp;Disa Exp by Truelayer cat'!$E:$E)</f>
        <v>Deduct from expenses</v>
      </c>
    </row>
    <row r="860" spans="1:6" x14ac:dyDescent="0.25">
      <c r="A860" t="s">
        <v>1783</v>
      </c>
      <c r="B860" t="s">
        <v>1810</v>
      </c>
      <c r="C860" t="s">
        <v>463</v>
      </c>
      <c r="D860" t="str">
        <f>_xlfn.XLOOKUP(C860,'Allow&amp;Disa Exp by Truelayer cat'!$B:$B,'Allow&amp;Disa Exp by Truelayer cat'!$C:$C)</f>
        <v>Allowable</v>
      </c>
      <c r="E860" s="116">
        <f>_xlfn.XLOOKUP(C860,'Allow&amp;Disa Exp by Truelayer cat'!$B:$B,'Allow&amp;Disa Exp by Truelayer cat'!$D:$D)</f>
        <v>0</v>
      </c>
      <c r="F860" t="str">
        <f>_xlfn.XLOOKUP(C860,'Allow&amp;Disa Exp by Truelayer cat'!$B:$B,'Allow&amp;Disa Exp by Truelayer cat'!$E:$E)</f>
        <v>Deduct from expenses</v>
      </c>
    </row>
    <row r="861" spans="1:6" x14ac:dyDescent="0.25">
      <c r="A861" t="s">
        <v>1783</v>
      </c>
      <c r="B861" t="s">
        <v>1811</v>
      </c>
      <c r="C861" t="s">
        <v>463</v>
      </c>
      <c r="D861" t="str">
        <f>_xlfn.XLOOKUP(C861,'Allow&amp;Disa Exp by Truelayer cat'!$B:$B,'Allow&amp;Disa Exp by Truelayer cat'!$C:$C)</f>
        <v>Allowable</v>
      </c>
      <c r="E861" s="116">
        <f>_xlfn.XLOOKUP(C861,'Allow&amp;Disa Exp by Truelayer cat'!$B:$B,'Allow&amp;Disa Exp by Truelayer cat'!$D:$D)</f>
        <v>0</v>
      </c>
      <c r="F861" t="str">
        <f>_xlfn.XLOOKUP(C861,'Allow&amp;Disa Exp by Truelayer cat'!$B:$B,'Allow&amp;Disa Exp by Truelayer cat'!$E:$E)</f>
        <v>Deduct from expenses</v>
      </c>
    </row>
    <row r="862" spans="1:6" x14ac:dyDescent="0.25">
      <c r="A862" t="s">
        <v>1783</v>
      </c>
      <c r="B862" t="s">
        <v>1812</v>
      </c>
      <c r="C862" t="s">
        <v>463</v>
      </c>
      <c r="D862" t="str">
        <f>_xlfn.XLOOKUP(C862,'Allow&amp;Disa Exp by Truelayer cat'!$B:$B,'Allow&amp;Disa Exp by Truelayer cat'!$C:$C)</f>
        <v>Allowable</v>
      </c>
      <c r="E862" s="116">
        <f>_xlfn.XLOOKUP(C862,'Allow&amp;Disa Exp by Truelayer cat'!$B:$B,'Allow&amp;Disa Exp by Truelayer cat'!$D:$D)</f>
        <v>0</v>
      </c>
      <c r="F862" t="str">
        <f>_xlfn.XLOOKUP(C862,'Allow&amp;Disa Exp by Truelayer cat'!$B:$B,'Allow&amp;Disa Exp by Truelayer cat'!$E:$E)</f>
        <v>Deduct from expenses</v>
      </c>
    </row>
    <row r="863" spans="1:6" x14ac:dyDescent="0.25">
      <c r="A863" t="s">
        <v>1783</v>
      </c>
      <c r="B863" t="s">
        <v>1813</v>
      </c>
      <c r="C863" t="s">
        <v>463</v>
      </c>
      <c r="D863" t="str">
        <f>_xlfn.XLOOKUP(C863,'Allow&amp;Disa Exp by Truelayer cat'!$B:$B,'Allow&amp;Disa Exp by Truelayer cat'!$C:$C)</f>
        <v>Allowable</v>
      </c>
      <c r="E863" s="116">
        <f>_xlfn.XLOOKUP(C863,'Allow&amp;Disa Exp by Truelayer cat'!$B:$B,'Allow&amp;Disa Exp by Truelayer cat'!$D:$D)</f>
        <v>0</v>
      </c>
      <c r="F863" t="str">
        <f>_xlfn.XLOOKUP(C863,'Allow&amp;Disa Exp by Truelayer cat'!$B:$B,'Allow&amp;Disa Exp by Truelayer cat'!$E:$E)</f>
        <v>Deduct from expenses</v>
      </c>
    </row>
    <row r="864" spans="1:6" x14ac:dyDescent="0.25">
      <c r="A864" t="s">
        <v>1783</v>
      </c>
      <c r="B864" t="s">
        <v>1814</v>
      </c>
      <c r="C864" t="s">
        <v>463</v>
      </c>
      <c r="D864" t="str">
        <f>_xlfn.XLOOKUP(C864,'Allow&amp;Disa Exp by Truelayer cat'!$B:$B,'Allow&amp;Disa Exp by Truelayer cat'!$C:$C)</f>
        <v>Allowable</v>
      </c>
      <c r="E864" s="116">
        <f>_xlfn.XLOOKUP(C864,'Allow&amp;Disa Exp by Truelayer cat'!$B:$B,'Allow&amp;Disa Exp by Truelayer cat'!$D:$D)</f>
        <v>0</v>
      </c>
      <c r="F864" t="str">
        <f>_xlfn.XLOOKUP(C864,'Allow&amp;Disa Exp by Truelayer cat'!$B:$B,'Allow&amp;Disa Exp by Truelayer cat'!$E:$E)</f>
        <v>Deduct from expenses</v>
      </c>
    </row>
    <row r="865" spans="1:6" x14ac:dyDescent="0.25">
      <c r="A865" t="s">
        <v>1783</v>
      </c>
      <c r="B865" t="s">
        <v>1815</v>
      </c>
      <c r="C865" t="s">
        <v>463</v>
      </c>
      <c r="D865" t="str">
        <f>_xlfn.XLOOKUP(C865,'Allow&amp;Disa Exp by Truelayer cat'!$B:$B,'Allow&amp;Disa Exp by Truelayer cat'!$C:$C)</f>
        <v>Allowable</v>
      </c>
      <c r="E865" s="116">
        <f>_xlfn.XLOOKUP(C865,'Allow&amp;Disa Exp by Truelayer cat'!$B:$B,'Allow&amp;Disa Exp by Truelayer cat'!$D:$D)</f>
        <v>0</v>
      </c>
      <c r="F865" t="str">
        <f>_xlfn.XLOOKUP(C865,'Allow&amp;Disa Exp by Truelayer cat'!$B:$B,'Allow&amp;Disa Exp by Truelayer cat'!$E:$E)</f>
        <v>Deduct from expenses</v>
      </c>
    </row>
    <row r="866" spans="1:6" x14ac:dyDescent="0.25">
      <c r="A866" t="s">
        <v>1783</v>
      </c>
      <c r="B866" t="s">
        <v>1816</v>
      </c>
      <c r="C866" t="s">
        <v>463</v>
      </c>
      <c r="D866" t="str">
        <f>_xlfn.XLOOKUP(C866,'Allow&amp;Disa Exp by Truelayer cat'!$B:$B,'Allow&amp;Disa Exp by Truelayer cat'!$C:$C)</f>
        <v>Allowable</v>
      </c>
      <c r="E866" s="116">
        <f>_xlfn.XLOOKUP(C866,'Allow&amp;Disa Exp by Truelayer cat'!$B:$B,'Allow&amp;Disa Exp by Truelayer cat'!$D:$D)</f>
        <v>0</v>
      </c>
      <c r="F866" t="str">
        <f>_xlfn.XLOOKUP(C866,'Allow&amp;Disa Exp by Truelayer cat'!$B:$B,'Allow&amp;Disa Exp by Truelayer cat'!$E:$E)</f>
        <v>Deduct from expenses</v>
      </c>
    </row>
    <row r="867" spans="1:6" x14ac:dyDescent="0.25">
      <c r="A867" t="s">
        <v>1783</v>
      </c>
      <c r="B867" t="s">
        <v>1817</v>
      </c>
      <c r="C867" t="s">
        <v>463</v>
      </c>
      <c r="D867" t="str">
        <f>_xlfn.XLOOKUP(C867,'Allow&amp;Disa Exp by Truelayer cat'!$B:$B,'Allow&amp;Disa Exp by Truelayer cat'!$C:$C)</f>
        <v>Allowable</v>
      </c>
      <c r="E867" s="116">
        <f>_xlfn.XLOOKUP(C867,'Allow&amp;Disa Exp by Truelayer cat'!$B:$B,'Allow&amp;Disa Exp by Truelayer cat'!$D:$D)</f>
        <v>0</v>
      </c>
      <c r="F867" t="str">
        <f>_xlfn.XLOOKUP(C867,'Allow&amp;Disa Exp by Truelayer cat'!$B:$B,'Allow&amp;Disa Exp by Truelayer cat'!$E:$E)</f>
        <v>Deduct from expenses</v>
      </c>
    </row>
    <row r="868" spans="1:6" x14ac:dyDescent="0.25">
      <c r="A868" t="s">
        <v>1783</v>
      </c>
      <c r="B868" t="s">
        <v>1818</v>
      </c>
      <c r="C868" t="s">
        <v>463</v>
      </c>
      <c r="D868" t="str">
        <f>_xlfn.XLOOKUP(C868,'Allow&amp;Disa Exp by Truelayer cat'!$B:$B,'Allow&amp;Disa Exp by Truelayer cat'!$C:$C)</f>
        <v>Allowable</v>
      </c>
      <c r="E868" s="116">
        <f>_xlfn.XLOOKUP(C868,'Allow&amp;Disa Exp by Truelayer cat'!$B:$B,'Allow&amp;Disa Exp by Truelayer cat'!$D:$D)</f>
        <v>0</v>
      </c>
      <c r="F868" t="str">
        <f>_xlfn.XLOOKUP(C868,'Allow&amp;Disa Exp by Truelayer cat'!$B:$B,'Allow&amp;Disa Exp by Truelayer cat'!$E:$E)</f>
        <v>Deduct from expenses</v>
      </c>
    </row>
    <row r="869" spans="1:6" x14ac:dyDescent="0.25">
      <c r="A869" t="s">
        <v>1783</v>
      </c>
      <c r="B869" t="s">
        <v>1819</v>
      </c>
      <c r="C869" t="s">
        <v>463</v>
      </c>
      <c r="D869" t="str">
        <f>_xlfn.XLOOKUP(C869,'Allow&amp;Disa Exp by Truelayer cat'!$B:$B,'Allow&amp;Disa Exp by Truelayer cat'!$C:$C)</f>
        <v>Allowable</v>
      </c>
      <c r="E869" s="116">
        <f>_xlfn.XLOOKUP(C869,'Allow&amp;Disa Exp by Truelayer cat'!$B:$B,'Allow&amp;Disa Exp by Truelayer cat'!$D:$D)</f>
        <v>0</v>
      </c>
      <c r="F869" t="str">
        <f>_xlfn.XLOOKUP(C869,'Allow&amp;Disa Exp by Truelayer cat'!$B:$B,'Allow&amp;Disa Exp by Truelayer cat'!$E:$E)</f>
        <v>Deduct from expenses</v>
      </c>
    </row>
    <row r="870" spans="1:6" x14ac:dyDescent="0.25">
      <c r="A870" t="s">
        <v>1783</v>
      </c>
      <c r="B870" t="s">
        <v>1820</v>
      </c>
      <c r="C870" t="s">
        <v>463</v>
      </c>
      <c r="D870" t="str">
        <f>_xlfn.XLOOKUP(C870,'Allow&amp;Disa Exp by Truelayer cat'!$B:$B,'Allow&amp;Disa Exp by Truelayer cat'!$C:$C)</f>
        <v>Allowable</v>
      </c>
      <c r="E870" s="116">
        <f>_xlfn.XLOOKUP(C870,'Allow&amp;Disa Exp by Truelayer cat'!$B:$B,'Allow&amp;Disa Exp by Truelayer cat'!$D:$D)</f>
        <v>0</v>
      </c>
      <c r="F870" t="str">
        <f>_xlfn.XLOOKUP(C870,'Allow&amp;Disa Exp by Truelayer cat'!$B:$B,'Allow&amp;Disa Exp by Truelayer cat'!$E:$E)</f>
        <v>Deduct from expenses</v>
      </c>
    </row>
    <row r="871" spans="1:6" x14ac:dyDescent="0.25">
      <c r="A871" t="s">
        <v>1783</v>
      </c>
      <c r="B871" t="s">
        <v>1821</v>
      </c>
      <c r="C871" t="s">
        <v>463</v>
      </c>
      <c r="D871" t="str">
        <f>_xlfn.XLOOKUP(C871,'Allow&amp;Disa Exp by Truelayer cat'!$B:$B,'Allow&amp;Disa Exp by Truelayer cat'!$C:$C)</f>
        <v>Allowable</v>
      </c>
      <c r="E871" s="116">
        <f>_xlfn.XLOOKUP(C871,'Allow&amp;Disa Exp by Truelayer cat'!$B:$B,'Allow&amp;Disa Exp by Truelayer cat'!$D:$D)</f>
        <v>0</v>
      </c>
      <c r="F871" t="str">
        <f>_xlfn.XLOOKUP(C871,'Allow&amp;Disa Exp by Truelayer cat'!$B:$B,'Allow&amp;Disa Exp by Truelayer cat'!$E:$E)</f>
        <v>Deduct from expenses</v>
      </c>
    </row>
    <row r="872" spans="1:6" ht="30" x14ac:dyDescent="0.25">
      <c r="A872" t="s">
        <v>447</v>
      </c>
      <c r="B872" t="s">
        <v>1822</v>
      </c>
      <c r="C872" t="s">
        <v>447</v>
      </c>
      <c r="D872" t="str">
        <f>_xlfn.XLOOKUP(C872,'Allow&amp;Disa Exp by Truelayer cat'!$B:$B,'Allow&amp;Disa Exp by Truelayer cat'!$C:$C)</f>
        <v>Review</v>
      </c>
      <c r="E872" s="116" t="str">
        <f>_xlfn.XLOOKUP(C872,'Allow&amp;Disa Exp by Truelayer cat'!$B:$B,'Allow&amp;Disa Exp by Truelayer cat'!$D:$D)</f>
        <v>"Was this purchase for trade purposes?"</v>
      </c>
      <c r="F872" t="str">
        <f>_xlfn.XLOOKUP(C872,'Allow&amp;Disa Exp by Truelayer cat'!$B:$B,'Allow&amp;Disa Exp by Truelayer cat'!$E:$E)</f>
        <v xml:space="preserve"> If not for trade, then disallow and add back to income. - Prompt user to add receipt for VAT or just evidence</v>
      </c>
    </row>
    <row r="873" spans="1:6" ht="30" x14ac:dyDescent="0.25">
      <c r="A873" t="s">
        <v>447</v>
      </c>
      <c r="B873" t="s">
        <v>1823</v>
      </c>
      <c r="C873" t="s">
        <v>447</v>
      </c>
      <c r="D873" t="str">
        <f>_xlfn.XLOOKUP(C873,'Allow&amp;Disa Exp by Truelayer cat'!$B:$B,'Allow&amp;Disa Exp by Truelayer cat'!$C:$C)</f>
        <v>Review</v>
      </c>
      <c r="E873" s="116" t="str">
        <f>_xlfn.XLOOKUP(C873,'Allow&amp;Disa Exp by Truelayer cat'!$B:$B,'Allow&amp;Disa Exp by Truelayer cat'!$D:$D)</f>
        <v>"Was this purchase for trade purposes?"</v>
      </c>
      <c r="F873" t="str">
        <f>_xlfn.XLOOKUP(C873,'Allow&amp;Disa Exp by Truelayer cat'!$B:$B,'Allow&amp;Disa Exp by Truelayer cat'!$E:$E)</f>
        <v xml:space="preserve"> If not for trade, then disallow and add back to income. - Prompt user to add receipt for VAT or just evidence</v>
      </c>
    </row>
    <row r="874" spans="1:6" ht="30" x14ac:dyDescent="0.25">
      <c r="A874" t="s">
        <v>447</v>
      </c>
      <c r="B874" t="s">
        <v>1824</v>
      </c>
      <c r="C874" t="s">
        <v>447</v>
      </c>
      <c r="D874" t="str">
        <f>_xlfn.XLOOKUP(C874,'Allow&amp;Disa Exp by Truelayer cat'!$B:$B,'Allow&amp;Disa Exp by Truelayer cat'!$C:$C)</f>
        <v>Review</v>
      </c>
      <c r="E874" s="116" t="str">
        <f>_xlfn.XLOOKUP(C874,'Allow&amp;Disa Exp by Truelayer cat'!$B:$B,'Allow&amp;Disa Exp by Truelayer cat'!$D:$D)</f>
        <v>"Was this purchase for trade purposes?"</v>
      </c>
      <c r="F874" t="str">
        <f>_xlfn.XLOOKUP(C874,'Allow&amp;Disa Exp by Truelayer cat'!$B:$B,'Allow&amp;Disa Exp by Truelayer cat'!$E:$E)</f>
        <v xml:space="preserve"> If not for trade, then disallow and add back to income. - Prompt user to add receipt for VAT or just evidence</v>
      </c>
    </row>
    <row r="875" spans="1:6" ht="30" x14ac:dyDescent="0.25">
      <c r="A875" t="s">
        <v>447</v>
      </c>
      <c r="B875" t="s">
        <v>1825</v>
      </c>
      <c r="C875" t="s">
        <v>446</v>
      </c>
      <c r="D875" t="str">
        <f>_xlfn.XLOOKUP(C875,'Allow&amp;Disa Exp by Truelayer cat'!$B:$B,'Allow&amp;Disa Exp by Truelayer cat'!$C:$C)</f>
        <v>Review</v>
      </c>
      <c r="E875" s="116" t="str">
        <f>_xlfn.XLOOKUP(C875,'Allow&amp;Disa Exp by Truelayer cat'!$B:$B,'Allow&amp;Disa Exp by Truelayer cat'!$D:$D)</f>
        <v>"Was this purchase for trade purposes?"</v>
      </c>
      <c r="F875" t="str">
        <f>_xlfn.XLOOKUP(C875,'Allow&amp;Disa Exp by Truelayer cat'!$B:$B,'Allow&amp;Disa Exp by Truelayer cat'!$E:$E)</f>
        <v>Add back to income</v>
      </c>
    </row>
    <row r="876" spans="1:6" ht="30" x14ac:dyDescent="0.25">
      <c r="A876" t="s">
        <v>447</v>
      </c>
      <c r="B876" t="s">
        <v>1826</v>
      </c>
      <c r="C876" t="s">
        <v>444</v>
      </c>
      <c r="D876" t="str">
        <f>_xlfn.XLOOKUP(C876,'Allow&amp;Disa Exp by Truelayer cat'!$B:$B,'Allow&amp;Disa Exp by Truelayer cat'!$C:$C)</f>
        <v>Review</v>
      </c>
      <c r="E876" s="116" t="str">
        <f>_xlfn.XLOOKUP(C876,'Allow&amp;Disa Exp by Truelayer cat'!$B:$B,'Allow&amp;Disa Exp by Truelayer cat'!$D:$D)</f>
        <v>"Was this purchase for trade purposes?"</v>
      </c>
      <c r="F876" t="str">
        <f>_xlfn.XLOOKUP(C876,'Allow&amp;Disa Exp by Truelayer cat'!$B:$B,'Allow&amp;Disa Exp by Truelayer cat'!$E:$E)</f>
        <v>Add back to income</v>
      </c>
    </row>
    <row r="877" spans="1:6" ht="30" x14ac:dyDescent="0.25">
      <c r="A877" t="s">
        <v>447</v>
      </c>
      <c r="B877" t="s">
        <v>1827</v>
      </c>
      <c r="C877" t="s">
        <v>446</v>
      </c>
      <c r="D877" t="str">
        <f>_xlfn.XLOOKUP(C877,'Allow&amp;Disa Exp by Truelayer cat'!$B:$B,'Allow&amp;Disa Exp by Truelayer cat'!$C:$C)</f>
        <v>Review</v>
      </c>
      <c r="E877" s="116" t="str">
        <f>_xlfn.XLOOKUP(C877,'Allow&amp;Disa Exp by Truelayer cat'!$B:$B,'Allow&amp;Disa Exp by Truelayer cat'!$D:$D)</f>
        <v>"Was this purchase for trade purposes?"</v>
      </c>
      <c r="F877" t="str">
        <f>_xlfn.XLOOKUP(C877,'Allow&amp;Disa Exp by Truelayer cat'!$B:$B,'Allow&amp;Disa Exp by Truelayer cat'!$E:$E)</f>
        <v>Add back to income</v>
      </c>
    </row>
    <row r="878" spans="1:6" ht="30" x14ac:dyDescent="0.25">
      <c r="A878" t="s">
        <v>447</v>
      </c>
      <c r="B878" t="s">
        <v>1828</v>
      </c>
      <c r="C878" t="s">
        <v>446</v>
      </c>
      <c r="D878" t="str">
        <f>_xlfn.XLOOKUP(C878,'Allow&amp;Disa Exp by Truelayer cat'!$B:$B,'Allow&amp;Disa Exp by Truelayer cat'!$C:$C)</f>
        <v>Review</v>
      </c>
      <c r="E878" s="116" t="str">
        <f>_xlfn.XLOOKUP(C878,'Allow&amp;Disa Exp by Truelayer cat'!$B:$B,'Allow&amp;Disa Exp by Truelayer cat'!$D:$D)</f>
        <v>"Was this purchase for trade purposes?"</v>
      </c>
      <c r="F878" t="str">
        <f>_xlfn.XLOOKUP(C878,'Allow&amp;Disa Exp by Truelayer cat'!$B:$B,'Allow&amp;Disa Exp by Truelayer cat'!$E:$E)</f>
        <v>Add back to income</v>
      </c>
    </row>
    <row r="879" spans="1:6" ht="30" x14ac:dyDescent="0.25">
      <c r="A879" t="s">
        <v>447</v>
      </c>
      <c r="B879" t="s">
        <v>1829</v>
      </c>
      <c r="C879" t="s">
        <v>444</v>
      </c>
      <c r="D879" t="str">
        <f>_xlfn.XLOOKUP(C879,'Allow&amp;Disa Exp by Truelayer cat'!$B:$B,'Allow&amp;Disa Exp by Truelayer cat'!$C:$C)</f>
        <v>Review</v>
      </c>
      <c r="E879" s="116" t="str">
        <f>_xlfn.XLOOKUP(C879,'Allow&amp;Disa Exp by Truelayer cat'!$B:$B,'Allow&amp;Disa Exp by Truelayer cat'!$D:$D)</f>
        <v>"Was this purchase for trade purposes?"</v>
      </c>
      <c r="F879" t="str">
        <f>_xlfn.XLOOKUP(C879,'Allow&amp;Disa Exp by Truelayer cat'!$B:$B,'Allow&amp;Disa Exp by Truelayer cat'!$E:$E)</f>
        <v>Add back to income</v>
      </c>
    </row>
    <row r="880" spans="1:6" ht="30" x14ac:dyDescent="0.25">
      <c r="A880" t="s">
        <v>447</v>
      </c>
      <c r="B880" t="s">
        <v>1567</v>
      </c>
      <c r="C880" t="s">
        <v>445</v>
      </c>
      <c r="D880" t="str">
        <f>_xlfn.XLOOKUP(C880,'Allow&amp;Disa Exp by Truelayer cat'!$B:$B,'Allow&amp;Disa Exp by Truelayer cat'!$C:$C)</f>
        <v>Review</v>
      </c>
      <c r="E880" s="116" t="str">
        <f>_xlfn.XLOOKUP(C880,'Allow&amp;Disa Exp by Truelayer cat'!$B:$B,'Allow&amp;Disa Exp by Truelayer cat'!$D:$D)</f>
        <v>"Was this purchase for trade purposes?"</v>
      </c>
      <c r="F880" t="str">
        <f>_xlfn.XLOOKUP(C880,'Allow&amp;Disa Exp by Truelayer cat'!$B:$B,'Allow&amp;Disa Exp by Truelayer cat'!$E:$E)</f>
        <v xml:space="preserve"> If not for trade, then disallow and add back to income. - Prompt user to add receipt for VAT or just evidence</v>
      </c>
    </row>
    <row r="881" spans="1:6" ht="30" x14ac:dyDescent="0.25">
      <c r="A881" t="s">
        <v>447</v>
      </c>
      <c r="B881" t="s">
        <v>1830</v>
      </c>
      <c r="C881" t="s">
        <v>447</v>
      </c>
      <c r="D881" t="str">
        <f>_xlfn.XLOOKUP(C881,'Allow&amp;Disa Exp by Truelayer cat'!$B:$B,'Allow&amp;Disa Exp by Truelayer cat'!$C:$C)</f>
        <v>Review</v>
      </c>
      <c r="E881" s="116" t="str">
        <f>_xlfn.XLOOKUP(C881,'Allow&amp;Disa Exp by Truelayer cat'!$B:$B,'Allow&amp;Disa Exp by Truelayer cat'!$D:$D)</f>
        <v>"Was this purchase for trade purposes?"</v>
      </c>
      <c r="F881" t="str">
        <f>_xlfn.XLOOKUP(C881,'Allow&amp;Disa Exp by Truelayer cat'!$B:$B,'Allow&amp;Disa Exp by Truelayer cat'!$E:$E)</f>
        <v xml:space="preserve"> If not for trade, then disallow and add back to income. - Prompt user to add receipt for VAT or just evidence</v>
      </c>
    </row>
    <row r="882" spans="1:6" ht="30" x14ac:dyDescent="0.25">
      <c r="A882" t="s">
        <v>447</v>
      </c>
      <c r="B882" t="s">
        <v>1831</v>
      </c>
      <c r="C882" t="s">
        <v>446</v>
      </c>
      <c r="D882" t="str">
        <f>_xlfn.XLOOKUP(C882,'Allow&amp;Disa Exp by Truelayer cat'!$B:$B,'Allow&amp;Disa Exp by Truelayer cat'!$C:$C)</f>
        <v>Review</v>
      </c>
      <c r="E882" s="116" t="str">
        <f>_xlfn.XLOOKUP(C882,'Allow&amp;Disa Exp by Truelayer cat'!$B:$B,'Allow&amp;Disa Exp by Truelayer cat'!$D:$D)</f>
        <v>"Was this purchase for trade purposes?"</v>
      </c>
      <c r="F882" t="str">
        <f>_xlfn.XLOOKUP(C882,'Allow&amp;Disa Exp by Truelayer cat'!$B:$B,'Allow&amp;Disa Exp by Truelayer cat'!$E:$E)</f>
        <v>Add back to income</v>
      </c>
    </row>
    <row r="883" spans="1:6" ht="30" x14ac:dyDescent="0.25">
      <c r="A883" t="s">
        <v>447</v>
      </c>
      <c r="B883" t="s">
        <v>1832</v>
      </c>
      <c r="C883" t="s">
        <v>447</v>
      </c>
      <c r="D883" t="str">
        <f>_xlfn.XLOOKUP(C883,'Allow&amp;Disa Exp by Truelayer cat'!$B:$B,'Allow&amp;Disa Exp by Truelayer cat'!$C:$C)</f>
        <v>Review</v>
      </c>
      <c r="E883" s="116" t="str">
        <f>_xlfn.XLOOKUP(C883,'Allow&amp;Disa Exp by Truelayer cat'!$B:$B,'Allow&amp;Disa Exp by Truelayer cat'!$D:$D)</f>
        <v>"Was this purchase for trade purposes?"</v>
      </c>
      <c r="F883" t="str">
        <f>_xlfn.XLOOKUP(C883,'Allow&amp;Disa Exp by Truelayer cat'!$B:$B,'Allow&amp;Disa Exp by Truelayer cat'!$E:$E)</f>
        <v xml:space="preserve"> If not for trade, then disallow and add back to income. - Prompt user to add receipt for VAT or just evidence</v>
      </c>
    </row>
    <row r="884" spans="1:6" ht="30" x14ac:dyDescent="0.25">
      <c r="A884" t="s">
        <v>447</v>
      </c>
      <c r="B884" t="s">
        <v>1833</v>
      </c>
      <c r="C884" t="s">
        <v>447</v>
      </c>
      <c r="D884" t="str">
        <f>_xlfn.XLOOKUP(C884,'Allow&amp;Disa Exp by Truelayer cat'!$B:$B,'Allow&amp;Disa Exp by Truelayer cat'!$C:$C)</f>
        <v>Review</v>
      </c>
      <c r="E884" s="116" t="str">
        <f>_xlfn.XLOOKUP(C884,'Allow&amp;Disa Exp by Truelayer cat'!$B:$B,'Allow&amp;Disa Exp by Truelayer cat'!$D:$D)</f>
        <v>"Was this purchase for trade purposes?"</v>
      </c>
      <c r="F884" t="str">
        <f>_xlfn.XLOOKUP(C884,'Allow&amp;Disa Exp by Truelayer cat'!$B:$B,'Allow&amp;Disa Exp by Truelayer cat'!$E:$E)</f>
        <v xml:space="preserve"> If not for trade, then disallow and add back to income. - Prompt user to add receipt for VAT or just evidence</v>
      </c>
    </row>
    <row r="885" spans="1:6" ht="30" x14ac:dyDescent="0.25">
      <c r="A885" t="s">
        <v>447</v>
      </c>
      <c r="B885" t="s">
        <v>1834</v>
      </c>
      <c r="C885" t="s">
        <v>446</v>
      </c>
      <c r="D885" t="str">
        <f>_xlfn.XLOOKUP(C885,'Allow&amp;Disa Exp by Truelayer cat'!$B:$B,'Allow&amp;Disa Exp by Truelayer cat'!$C:$C)</f>
        <v>Review</v>
      </c>
      <c r="E885" s="116" t="str">
        <f>_xlfn.XLOOKUP(C885,'Allow&amp;Disa Exp by Truelayer cat'!$B:$B,'Allow&amp;Disa Exp by Truelayer cat'!$D:$D)</f>
        <v>"Was this purchase for trade purposes?"</v>
      </c>
      <c r="F885" t="str">
        <f>_xlfn.XLOOKUP(C885,'Allow&amp;Disa Exp by Truelayer cat'!$B:$B,'Allow&amp;Disa Exp by Truelayer cat'!$E:$E)</f>
        <v>Add back to income</v>
      </c>
    </row>
    <row r="886" spans="1:6" ht="30" x14ac:dyDescent="0.25">
      <c r="A886" t="s">
        <v>447</v>
      </c>
      <c r="B886" t="s">
        <v>1835</v>
      </c>
      <c r="C886" t="s">
        <v>446</v>
      </c>
      <c r="D886" t="str">
        <f>_xlfn.XLOOKUP(C886,'Allow&amp;Disa Exp by Truelayer cat'!$B:$B,'Allow&amp;Disa Exp by Truelayer cat'!$C:$C)</f>
        <v>Review</v>
      </c>
      <c r="E886" s="116" t="str">
        <f>_xlfn.XLOOKUP(C886,'Allow&amp;Disa Exp by Truelayer cat'!$B:$B,'Allow&amp;Disa Exp by Truelayer cat'!$D:$D)</f>
        <v>"Was this purchase for trade purposes?"</v>
      </c>
      <c r="F886" t="str">
        <f>_xlfn.XLOOKUP(C886,'Allow&amp;Disa Exp by Truelayer cat'!$B:$B,'Allow&amp;Disa Exp by Truelayer cat'!$E:$E)</f>
        <v>Add back to income</v>
      </c>
    </row>
    <row r="887" spans="1:6" ht="30" x14ac:dyDescent="0.25">
      <c r="A887" t="s">
        <v>447</v>
      </c>
      <c r="B887" t="s">
        <v>1836</v>
      </c>
      <c r="C887" t="s">
        <v>447</v>
      </c>
      <c r="D887" t="str">
        <f>_xlfn.XLOOKUP(C887,'Allow&amp;Disa Exp by Truelayer cat'!$B:$B,'Allow&amp;Disa Exp by Truelayer cat'!$C:$C)</f>
        <v>Review</v>
      </c>
      <c r="E887" s="116" t="str">
        <f>_xlfn.XLOOKUP(C887,'Allow&amp;Disa Exp by Truelayer cat'!$B:$B,'Allow&amp;Disa Exp by Truelayer cat'!$D:$D)</f>
        <v>"Was this purchase for trade purposes?"</v>
      </c>
      <c r="F887" t="str">
        <f>_xlfn.XLOOKUP(C887,'Allow&amp;Disa Exp by Truelayer cat'!$B:$B,'Allow&amp;Disa Exp by Truelayer cat'!$E:$E)</f>
        <v xml:space="preserve"> If not for trade, then disallow and add back to income. - Prompt user to add receipt for VAT or just evidence</v>
      </c>
    </row>
    <row r="888" spans="1:6" ht="30" x14ac:dyDescent="0.25">
      <c r="A888" t="s">
        <v>447</v>
      </c>
      <c r="B888" t="s">
        <v>1837</v>
      </c>
      <c r="C888" t="s">
        <v>447</v>
      </c>
      <c r="D888" t="str">
        <f>_xlfn.XLOOKUP(C888,'Allow&amp;Disa Exp by Truelayer cat'!$B:$B,'Allow&amp;Disa Exp by Truelayer cat'!$C:$C)</f>
        <v>Review</v>
      </c>
      <c r="E888" s="116" t="str">
        <f>_xlfn.XLOOKUP(C888,'Allow&amp;Disa Exp by Truelayer cat'!$B:$B,'Allow&amp;Disa Exp by Truelayer cat'!$D:$D)</f>
        <v>"Was this purchase for trade purposes?"</v>
      </c>
      <c r="F888" t="str">
        <f>_xlfn.XLOOKUP(C888,'Allow&amp;Disa Exp by Truelayer cat'!$B:$B,'Allow&amp;Disa Exp by Truelayer cat'!$E:$E)</f>
        <v xml:space="preserve"> If not for trade, then disallow and add back to income. - Prompt user to add receipt for VAT or just evidence</v>
      </c>
    </row>
    <row r="889" spans="1:6" ht="30" x14ac:dyDescent="0.25">
      <c r="A889" t="s">
        <v>447</v>
      </c>
      <c r="B889" t="s">
        <v>1838</v>
      </c>
      <c r="C889" t="s">
        <v>447</v>
      </c>
      <c r="D889" t="str">
        <f>_xlfn.XLOOKUP(C889,'Allow&amp;Disa Exp by Truelayer cat'!$B:$B,'Allow&amp;Disa Exp by Truelayer cat'!$C:$C)</f>
        <v>Review</v>
      </c>
      <c r="E889" s="116" t="str">
        <f>_xlfn.XLOOKUP(C889,'Allow&amp;Disa Exp by Truelayer cat'!$B:$B,'Allow&amp;Disa Exp by Truelayer cat'!$D:$D)</f>
        <v>"Was this purchase for trade purposes?"</v>
      </c>
      <c r="F889" t="str">
        <f>_xlfn.XLOOKUP(C889,'Allow&amp;Disa Exp by Truelayer cat'!$B:$B,'Allow&amp;Disa Exp by Truelayer cat'!$E:$E)</f>
        <v xml:space="preserve"> If not for trade, then disallow and add back to income. - Prompt user to add receipt for VAT or just evidence</v>
      </c>
    </row>
    <row r="890" spans="1:6" ht="30" x14ac:dyDescent="0.25">
      <c r="A890" t="s">
        <v>447</v>
      </c>
      <c r="B890" t="s">
        <v>1839</v>
      </c>
      <c r="C890" t="s">
        <v>446</v>
      </c>
      <c r="D890" t="str">
        <f>_xlfn.XLOOKUP(C890,'Allow&amp;Disa Exp by Truelayer cat'!$B:$B,'Allow&amp;Disa Exp by Truelayer cat'!$C:$C)</f>
        <v>Review</v>
      </c>
      <c r="E890" s="116" t="str">
        <f>_xlfn.XLOOKUP(C890,'Allow&amp;Disa Exp by Truelayer cat'!$B:$B,'Allow&amp;Disa Exp by Truelayer cat'!$D:$D)</f>
        <v>"Was this purchase for trade purposes?"</v>
      </c>
      <c r="F890" t="str">
        <f>_xlfn.XLOOKUP(C890,'Allow&amp;Disa Exp by Truelayer cat'!$B:$B,'Allow&amp;Disa Exp by Truelayer cat'!$E:$E)</f>
        <v>Add back to income</v>
      </c>
    </row>
    <row r="891" spans="1:6" ht="30" x14ac:dyDescent="0.25">
      <c r="A891" t="s">
        <v>447</v>
      </c>
      <c r="B891" t="s">
        <v>1840</v>
      </c>
      <c r="C891" t="s">
        <v>447</v>
      </c>
      <c r="D891" t="str">
        <f>_xlfn.XLOOKUP(C891,'Allow&amp;Disa Exp by Truelayer cat'!$B:$B,'Allow&amp;Disa Exp by Truelayer cat'!$C:$C)</f>
        <v>Review</v>
      </c>
      <c r="E891" s="116" t="str">
        <f>_xlfn.XLOOKUP(C891,'Allow&amp;Disa Exp by Truelayer cat'!$B:$B,'Allow&amp;Disa Exp by Truelayer cat'!$D:$D)</f>
        <v>"Was this purchase for trade purposes?"</v>
      </c>
      <c r="F891" t="str">
        <f>_xlfn.XLOOKUP(C891,'Allow&amp;Disa Exp by Truelayer cat'!$B:$B,'Allow&amp;Disa Exp by Truelayer cat'!$E:$E)</f>
        <v xml:space="preserve"> If not for trade, then disallow and add back to income. - Prompt user to add receipt for VAT or just evidence</v>
      </c>
    </row>
    <row r="892" spans="1:6" ht="30" x14ac:dyDescent="0.25">
      <c r="A892" t="s">
        <v>447</v>
      </c>
      <c r="B892" t="s">
        <v>1841</v>
      </c>
      <c r="C892" t="s">
        <v>447</v>
      </c>
      <c r="D892" t="str">
        <f>_xlfn.XLOOKUP(C892,'Allow&amp;Disa Exp by Truelayer cat'!$B:$B,'Allow&amp;Disa Exp by Truelayer cat'!$C:$C)</f>
        <v>Review</v>
      </c>
      <c r="E892" s="116" t="str">
        <f>_xlfn.XLOOKUP(C892,'Allow&amp;Disa Exp by Truelayer cat'!$B:$B,'Allow&amp;Disa Exp by Truelayer cat'!$D:$D)</f>
        <v>"Was this purchase for trade purposes?"</v>
      </c>
      <c r="F892" t="str">
        <f>_xlfn.XLOOKUP(C892,'Allow&amp;Disa Exp by Truelayer cat'!$B:$B,'Allow&amp;Disa Exp by Truelayer cat'!$E:$E)</f>
        <v xml:space="preserve"> If not for trade, then disallow and add back to income. - Prompt user to add receipt for VAT or just evidence</v>
      </c>
    </row>
    <row r="893" spans="1:6" ht="30" x14ac:dyDescent="0.25">
      <c r="A893" t="s">
        <v>447</v>
      </c>
      <c r="B893" t="s">
        <v>1842</v>
      </c>
      <c r="C893" t="s">
        <v>447</v>
      </c>
      <c r="D893" t="str">
        <f>_xlfn.XLOOKUP(C893,'Allow&amp;Disa Exp by Truelayer cat'!$B:$B,'Allow&amp;Disa Exp by Truelayer cat'!$C:$C)</f>
        <v>Review</v>
      </c>
      <c r="E893" s="116" t="str">
        <f>_xlfn.XLOOKUP(C893,'Allow&amp;Disa Exp by Truelayer cat'!$B:$B,'Allow&amp;Disa Exp by Truelayer cat'!$D:$D)</f>
        <v>"Was this purchase for trade purposes?"</v>
      </c>
      <c r="F893" t="str">
        <f>_xlfn.XLOOKUP(C893,'Allow&amp;Disa Exp by Truelayer cat'!$B:$B,'Allow&amp;Disa Exp by Truelayer cat'!$E:$E)</f>
        <v xml:space="preserve"> If not for trade, then disallow and add back to income. - Prompt user to add receipt for VAT or just evidence</v>
      </c>
    </row>
    <row r="894" spans="1:6" ht="30" x14ac:dyDescent="0.25">
      <c r="A894" t="s">
        <v>447</v>
      </c>
      <c r="B894" t="s">
        <v>1843</v>
      </c>
      <c r="C894" t="s">
        <v>447</v>
      </c>
      <c r="D894" t="str">
        <f>_xlfn.XLOOKUP(C894,'Allow&amp;Disa Exp by Truelayer cat'!$B:$B,'Allow&amp;Disa Exp by Truelayer cat'!$C:$C)</f>
        <v>Review</v>
      </c>
      <c r="E894" s="116" t="str">
        <f>_xlfn.XLOOKUP(C894,'Allow&amp;Disa Exp by Truelayer cat'!$B:$B,'Allow&amp;Disa Exp by Truelayer cat'!$D:$D)</f>
        <v>"Was this purchase for trade purposes?"</v>
      </c>
      <c r="F894" t="str">
        <f>_xlfn.XLOOKUP(C894,'Allow&amp;Disa Exp by Truelayer cat'!$B:$B,'Allow&amp;Disa Exp by Truelayer cat'!$E:$E)</f>
        <v xml:space="preserve"> If not for trade, then disallow and add back to income. - Prompt user to add receipt for VAT or just evidence</v>
      </c>
    </row>
    <row r="895" spans="1:6" ht="30" x14ac:dyDescent="0.25">
      <c r="A895" t="s">
        <v>447</v>
      </c>
      <c r="B895" t="s">
        <v>1571</v>
      </c>
      <c r="C895" t="s">
        <v>445</v>
      </c>
      <c r="D895" t="str">
        <f>_xlfn.XLOOKUP(C895,'Allow&amp;Disa Exp by Truelayer cat'!$B:$B,'Allow&amp;Disa Exp by Truelayer cat'!$C:$C)</f>
        <v>Review</v>
      </c>
      <c r="E895" s="116" t="str">
        <f>_xlfn.XLOOKUP(C895,'Allow&amp;Disa Exp by Truelayer cat'!$B:$B,'Allow&amp;Disa Exp by Truelayer cat'!$D:$D)</f>
        <v>"Was this purchase for trade purposes?"</v>
      </c>
      <c r="F895" t="str">
        <f>_xlfn.XLOOKUP(C895,'Allow&amp;Disa Exp by Truelayer cat'!$B:$B,'Allow&amp;Disa Exp by Truelayer cat'!$E:$E)</f>
        <v xml:space="preserve"> If not for trade, then disallow and add back to income. - Prompt user to add receipt for VAT or just evidence</v>
      </c>
    </row>
    <row r="896" spans="1:6" ht="30" x14ac:dyDescent="0.25">
      <c r="A896" t="s">
        <v>447</v>
      </c>
      <c r="B896" t="s">
        <v>1844</v>
      </c>
      <c r="C896" t="s">
        <v>447</v>
      </c>
      <c r="D896" t="str">
        <f>_xlfn.XLOOKUP(C896,'Allow&amp;Disa Exp by Truelayer cat'!$B:$B,'Allow&amp;Disa Exp by Truelayer cat'!$C:$C)</f>
        <v>Review</v>
      </c>
      <c r="E896" s="116" t="str">
        <f>_xlfn.XLOOKUP(C896,'Allow&amp;Disa Exp by Truelayer cat'!$B:$B,'Allow&amp;Disa Exp by Truelayer cat'!$D:$D)</f>
        <v>"Was this purchase for trade purposes?"</v>
      </c>
      <c r="F896" t="str">
        <f>_xlfn.XLOOKUP(C896,'Allow&amp;Disa Exp by Truelayer cat'!$B:$B,'Allow&amp;Disa Exp by Truelayer cat'!$E:$E)</f>
        <v xml:space="preserve"> If not for trade, then disallow and add back to income. - Prompt user to add receipt for VAT or just evidence</v>
      </c>
    </row>
    <row r="897" spans="1:6" ht="30" x14ac:dyDescent="0.25">
      <c r="A897" t="s">
        <v>447</v>
      </c>
      <c r="B897" t="s">
        <v>1845</v>
      </c>
      <c r="C897" t="s">
        <v>446</v>
      </c>
      <c r="D897" t="str">
        <f>_xlfn.XLOOKUP(C897,'Allow&amp;Disa Exp by Truelayer cat'!$B:$B,'Allow&amp;Disa Exp by Truelayer cat'!$C:$C)</f>
        <v>Review</v>
      </c>
      <c r="E897" s="116" t="str">
        <f>_xlfn.XLOOKUP(C897,'Allow&amp;Disa Exp by Truelayer cat'!$B:$B,'Allow&amp;Disa Exp by Truelayer cat'!$D:$D)</f>
        <v>"Was this purchase for trade purposes?"</v>
      </c>
      <c r="F897" t="str">
        <f>_xlfn.XLOOKUP(C897,'Allow&amp;Disa Exp by Truelayer cat'!$B:$B,'Allow&amp;Disa Exp by Truelayer cat'!$E:$E)</f>
        <v>Add back to income</v>
      </c>
    </row>
    <row r="898" spans="1:6" ht="30" x14ac:dyDescent="0.25">
      <c r="A898" t="s">
        <v>447</v>
      </c>
      <c r="B898" t="s">
        <v>1846</v>
      </c>
      <c r="C898" t="s">
        <v>444</v>
      </c>
      <c r="D898" t="str">
        <f>_xlfn.XLOOKUP(C898,'Allow&amp;Disa Exp by Truelayer cat'!$B:$B,'Allow&amp;Disa Exp by Truelayer cat'!$C:$C)</f>
        <v>Review</v>
      </c>
      <c r="E898" s="116" t="str">
        <f>_xlfn.XLOOKUP(C898,'Allow&amp;Disa Exp by Truelayer cat'!$B:$B,'Allow&amp;Disa Exp by Truelayer cat'!$D:$D)</f>
        <v>"Was this purchase for trade purposes?"</v>
      </c>
      <c r="F898" t="str">
        <f>_xlfn.XLOOKUP(C898,'Allow&amp;Disa Exp by Truelayer cat'!$B:$B,'Allow&amp;Disa Exp by Truelayer cat'!$E:$E)</f>
        <v>Add back to income</v>
      </c>
    </row>
    <row r="899" spans="1:6" ht="30" x14ac:dyDescent="0.25">
      <c r="A899" t="s">
        <v>447</v>
      </c>
      <c r="B899" t="s">
        <v>1847</v>
      </c>
      <c r="C899" t="s">
        <v>446</v>
      </c>
      <c r="D899" t="str">
        <f>_xlfn.XLOOKUP(C899,'Allow&amp;Disa Exp by Truelayer cat'!$B:$B,'Allow&amp;Disa Exp by Truelayer cat'!$C:$C)</f>
        <v>Review</v>
      </c>
      <c r="E899" s="116" t="str">
        <f>_xlfn.XLOOKUP(C899,'Allow&amp;Disa Exp by Truelayer cat'!$B:$B,'Allow&amp;Disa Exp by Truelayer cat'!$D:$D)</f>
        <v>"Was this purchase for trade purposes?"</v>
      </c>
      <c r="F899" t="str">
        <f>_xlfn.XLOOKUP(C899,'Allow&amp;Disa Exp by Truelayer cat'!$B:$B,'Allow&amp;Disa Exp by Truelayer cat'!$E:$E)</f>
        <v>Add back to income</v>
      </c>
    </row>
    <row r="900" spans="1:6" ht="30" x14ac:dyDescent="0.25">
      <c r="A900" t="s">
        <v>447</v>
      </c>
      <c r="B900" t="s">
        <v>1848</v>
      </c>
      <c r="C900" t="s">
        <v>446</v>
      </c>
      <c r="D900" t="str">
        <f>_xlfn.XLOOKUP(C900,'Allow&amp;Disa Exp by Truelayer cat'!$B:$B,'Allow&amp;Disa Exp by Truelayer cat'!$C:$C)</f>
        <v>Review</v>
      </c>
      <c r="E900" s="116" t="str">
        <f>_xlfn.XLOOKUP(C900,'Allow&amp;Disa Exp by Truelayer cat'!$B:$B,'Allow&amp;Disa Exp by Truelayer cat'!$D:$D)</f>
        <v>"Was this purchase for trade purposes?"</v>
      </c>
      <c r="F900" t="str">
        <f>_xlfn.XLOOKUP(C900,'Allow&amp;Disa Exp by Truelayer cat'!$B:$B,'Allow&amp;Disa Exp by Truelayer cat'!$E:$E)</f>
        <v>Add back to income</v>
      </c>
    </row>
    <row r="901" spans="1:6" ht="30" x14ac:dyDescent="0.25">
      <c r="A901" t="s">
        <v>447</v>
      </c>
      <c r="B901" t="s">
        <v>1849</v>
      </c>
      <c r="C901" t="s">
        <v>447</v>
      </c>
      <c r="D901" t="str">
        <f>_xlfn.XLOOKUP(C901,'Allow&amp;Disa Exp by Truelayer cat'!$B:$B,'Allow&amp;Disa Exp by Truelayer cat'!$C:$C)</f>
        <v>Review</v>
      </c>
      <c r="E901" s="116" t="str">
        <f>_xlfn.XLOOKUP(C901,'Allow&amp;Disa Exp by Truelayer cat'!$B:$B,'Allow&amp;Disa Exp by Truelayer cat'!$D:$D)</f>
        <v>"Was this purchase for trade purposes?"</v>
      </c>
      <c r="F901" t="str">
        <f>_xlfn.XLOOKUP(C901,'Allow&amp;Disa Exp by Truelayer cat'!$B:$B,'Allow&amp;Disa Exp by Truelayer cat'!$E:$E)</f>
        <v xml:space="preserve"> If not for trade, then disallow and add back to income. - Prompt user to add receipt for VAT or just evidence</v>
      </c>
    </row>
    <row r="902" spans="1:6" ht="30" x14ac:dyDescent="0.25">
      <c r="A902" t="s">
        <v>447</v>
      </c>
      <c r="B902" t="s">
        <v>1850</v>
      </c>
      <c r="C902" t="s">
        <v>447</v>
      </c>
      <c r="D902" t="str">
        <f>_xlfn.XLOOKUP(C902,'Allow&amp;Disa Exp by Truelayer cat'!$B:$B,'Allow&amp;Disa Exp by Truelayer cat'!$C:$C)</f>
        <v>Review</v>
      </c>
      <c r="E902" s="116" t="str">
        <f>_xlfn.XLOOKUP(C902,'Allow&amp;Disa Exp by Truelayer cat'!$B:$B,'Allow&amp;Disa Exp by Truelayer cat'!$D:$D)</f>
        <v>"Was this purchase for trade purposes?"</v>
      </c>
      <c r="F902" t="str">
        <f>_xlfn.XLOOKUP(C902,'Allow&amp;Disa Exp by Truelayer cat'!$B:$B,'Allow&amp;Disa Exp by Truelayer cat'!$E:$E)</f>
        <v xml:space="preserve"> If not for trade, then disallow and add back to income. - Prompt user to add receipt for VAT or just evidence</v>
      </c>
    </row>
    <row r="903" spans="1:6" ht="30" x14ac:dyDescent="0.25">
      <c r="A903" t="s">
        <v>447</v>
      </c>
      <c r="B903" t="s">
        <v>1851</v>
      </c>
      <c r="C903" t="s">
        <v>446</v>
      </c>
      <c r="D903" t="str">
        <f>_xlfn.XLOOKUP(C903,'Allow&amp;Disa Exp by Truelayer cat'!$B:$B,'Allow&amp;Disa Exp by Truelayer cat'!$C:$C)</f>
        <v>Review</v>
      </c>
      <c r="E903" s="116" t="str">
        <f>_xlfn.XLOOKUP(C903,'Allow&amp;Disa Exp by Truelayer cat'!$B:$B,'Allow&amp;Disa Exp by Truelayer cat'!$D:$D)</f>
        <v>"Was this purchase for trade purposes?"</v>
      </c>
      <c r="F903" t="str">
        <f>_xlfn.XLOOKUP(C903,'Allow&amp;Disa Exp by Truelayer cat'!$B:$B,'Allow&amp;Disa Exp by Truelayer cat'!$E:$E)</f>
        <v>Add back to income</v>
      </c>
    </row>
    <row r="904" spans="1:6" ht="30" x14ac:dyDescent="0.25">
      <c r="A904" t="s">
        <v>447</v>
      </c>
      <c r="B904" t="s">
        <v>1852</v>
      </c>
      <c r="C904" t="s">
        <v>447</v>
      </c>
      <c r="D904" t="str">
        <f>_xlfn.XLOOKUP(C904,'Allow&amp;Disa Exp by Truelayer cat'!$B:$B,'Allow&amp;Disa Exp by Truelayer cat'!$C:$C)</f>
        <v>Review</v>
      </c>
      <c r="E904" s="116" t="str">
        <f>_xlfn.XLOOKUP(C904,'Allow&amp;Disa Exp by Truelayer cat'!$B:$B,'Allow&amp;Disa Exp by Truelayer cat'!$D:$D)</f>
        <v>"Was this purchase for trade purposes?"</v>
      </c>
      <c r="F904" t="str">
        <f>_xlfn.XLOOKUP(C904,'Allow&amp;Disa Exp by Truelayer cat'!$B:$B,'Allow&amp;Disa Exp by Truelayer cat'!$E:$E)</f>
        <v xml:space="preserve"> If not for trade, then disallow and add back to income. - Prompt user to add receipt for VAT or just evidence</v>
      </c>
    </row>
    <row r="905" spans="1:6" ht="30" x14ac:dyDescent="0.25">
      <c r="A905" t="s">
        <v>447</v>
      </c>
      <c r="B905" t="s">
        <v>1853</v>
      </c>
      <c r="C905" t="s">
        <v>447</v>
      </c>
      <c r="D905" t="str">
        <f>_xlfn.XLOOKUP(C905,'Allow&amp;Disa Exp by Truelayer cat'!$B:$B,'Allow&amp;Disa Exp by Truelayer cat'!$C:$C)</f>
        <v>Review</v>
      </c>
      <c r="E905" s="116" t="str">
        <f>_xlfn.XLOOKUP(C905,'Allow&amp;Disa Exp by Truelayer cat'!$B:$B,'Allow&amp;Disa Exp by Truelayer cat'!$D:$D)</f>
        <v>"Was this purchase for trade purposes?"</v>
      </c>
      <c r="F905" t="str">
        <f>_xlfn.XLOOKUP(C905,'Allow&amp;Disa Exp by Truelayer cat'!$B:$B,'Allow&amp;Disa Exp by Truelayer cat'!$E:$E)</f>
        <v xml:space="preserve"> If not for trade, then disallow and add back to income. - Prompt user to add receipt for VAT or just evidence</v>
      </c>
    </row>
    <row r="906" spans="1:6" ht="30" x14ac:dyDescent="0.25">
      <c r="A906" t="s">
        <v>447</v>
      </c>
      <c r="B906" t="s">
        <v>1854</v>
      </c>
      <c r="C906" t="s">
        <v>447</v>
      </c>
      <c r="D906" t="str">
        <f>_xlfn.XLOOKUP(C906,'Allow&amp;Disa Exp by Truelayer cat'!$B:$B,'Allow&amp;Disa Exp by Truelayer cat'!$C:$C)</f>
        <v>Review</v>
      </c>
      <c r="E906" s="116" t="str">
        <f>_xlfn.XLOOKUP(C906,'Allow&amp;Disa Exp by Truelayer cat'!$B:$B,'Allow&amp;Disa Exp by Truelayer cat'!$D:$D)</f>
        <v>"Was this purchase for trade purposes?"</v>
      </c>
      <c r="F906" t="str">
        <f>_xlfn.XLOOKUP(C906,'Allow&amp;Disa Exp by Truelayer cat'!$B:$B,'Allow&amp;Disa Exp by Truelayer cat'!$E:$E)</f>
        <v xml:space="preserve"> If not for trade, then disallow and add back to income. - Prompt user to add receipt for VAT or just evidence</v>
      </c>
    </row>
    <row r="907" spans="1:6" ht="30" x14ac:dyDescent="0.25">
      <c r="A907" t="s">
        <v>447</v>
      </c>
      <c r="B907" t="s">
        <v>1855</v>
      </c>
      <c r="C907" t="s">
        <v>446</v>
      </c>
      <c r="D907" t="str">
        <f>_xlfn.XLOOKUP(C907,'Allow&amp;Disa Exp by Truelayer cat'!$B:$B,'Allow&amp;Disa Exp by Truelayer cat'!$C:$C)</f>
        <v>Review</v>
      </c>
      <c r="E907" s="116" t="str">
        <f>_xlfn.XLOOKUP(C907,'Allow&amp;Disa Exp by Truelayer cat'!$B:$B,'Allow&amp;Disa Exp by Truelayer cat'!$D:$D)</f>
        <v>"Was this purchase for trade purposes?"</v>
      </c>
      <c r="F907" t="str">
        <f>_xlfn.XLOOKUP(C907,'Allow&amp;Disa Exp by Truelayer cat'!$B:$B,'Allow&amp;Disa Exp by Truelayer cat'!$E:$E)</f>
        <v>Add back to income</v>
      </c>
    </row>
    <row r="908" spans="1:6" ht="30" x14ac:dyDescent="0.25">
      <c r="A908" t="s">
        <v>447</v>
      </c>
      <c r="B908" t="s">
        <v>1856</v>
      </c>
      <c r="C908" t="s">
        <v>447</v>
      </c>
      <c r="D908" t="str">
        <f>_xlfn.XLOOKUP(C908,'Allow&amp;Disa Exp by Truelayer cat'!$B:$B,'Allow&amp;Disa Exp by Truelayer cat'!$C:$C)</f>
        <v>Review</v>
      </c>
      <c r="E908" s="116" t="str">
        <f>_xlfn.XLOOKUP(C908,'Allow&amp;Disa Exp by Truelayer cat'!$B:$B,'Allow&amp;Disa Exp by Truelayer cat'!$D:$D)</f>
        <v>"Was this purchase for trade purposes?"</v>
      </c>
      <c r="F908" t="str">
        <f>_xlfn.XLOOKUP(C908,'Allow&amp;Disa Exp by Truelayer cat'!$B:$B,'Allow&amp;Disa Exp by Truelayer cat'!$E:$E)</f>
        <v xml:space="preserve"> If not for trade, then disallow and add back to income. - Prompt user to add receipt for VAT or just evidence</v>
      </c>
    </row>
    <row r="909" spans="1:6" ht="30" x14ac:dyDescent="0.25">
      <c r="A909" t="s">
        <v>447</v>
      </c>
      <c r="B909" t="s">
        <v>1857</v>
      </c>
      <c r="C909" t="s">
        <v>447</v>
      </c>
      <c r="D909" t="str">
        <f>_xlfn.XLOOKUP(C909,'Allow&amp;Disa Exp by Truelayer cat'!$B:$B,'Allow&amp;Disa Exp by Truelayer cat'!$C:$C)</f>
        <v>Review</v>
      </c>
      <c r="E909" s="116" t="str">
        <f>_xlfn.XLOOKUP(C909,'Allow&amp;Disa Exp by Truelayer cat'!$B:$B,'Allow&amp;Disa Exp by Truelayer cat'!$D:$D)</f>
        <v>"Was this purchase for trade purposes?"</v>
      </c>
      <c r="F909" t="str">
        <f>_xlfn.XLOOKUP(C909,'Allow&amp;Disa Exp by Truelayer cat'!$B:$B,'Allow&amp;Disa Exp by Truelayer cat'!$E:$E)</f>
        <v xml:space="preserve"> If not for trade, then disallow and add back to income. - Prompt user to add receipt for VAT or just evidence</v>
      </c>
    </row>
    <row r="910" spans="1:6" ht="30" x14ac:dyDescent="0.25">
      <c r="A910" t="s">
        <v>447</v>
      </c>
      <c r="B910" t="s">
        <v>1858</v>
      </c>
      <c r="C910" t="s">
        <v>447</v>
      </c>
      <c r="D910" t="str">
        <f>_xlfn.XLOOKUP(C910,'Allow&amp;Disa Exp by Truelayer cat'!$B:$B,'Allow&amp;Disa Exp by Truelayer cat'!$C:$C)</f>
        <v>Review</v>
      </c>
      <c r="E910" s="116" t="str">
        <f>_xlfn.XLOOKUP(C910,'Allow&amp;Disa Exp by Truelayer cat'!$B:$B,'Allow&amp;Disa Exp by Truelayer cat'!$D:$D)</f>
        <v>"Was this purchase for trade purposes?"</v>
      </c>
      <c r="F910" t="str">
        <f>_xlfn.XLOOKUP(C910,'Allow&amp;Disa Exp by Truelayer cat'!$B:$B,'Allow&amp;Disa Exp by Truelayer cat'!$E:$E)</f>
        <v xml:space="preserve"> If not for trade, then disallow and add back to income. - Prompt user to add receipt for VAT or just evidence</v>
      </c>
    </row>
    <row r="911" spans="1:6" ht="30" x14ac:dyDescent="0.25">
      <c r="A911" t="s">
        <v>447</v>
      </c>
      <c r="B911" t="s">
        <v>1859</v>
      </c>
      <c r="C911" t="s">
        <v>446</v>
      </c>
      <c r="D911" t="str">
        <f>_xlfn.XLOOKUP(C911,'Allow&amp;Disa Exp by Truelayer cat'!$B:$B,'Allow&amp;Disa Exp by Truelayer cat'!$C:$C)</f>
        <v>Review</v>
      </c>
      <c r="E911" s="116" t="str">
        <f>_xlfn.XLOOKUP(C911,'Allow&amp;Disa Exp by Truelayer cat'!$B:$B,'Allow&amp;Disa Exp by Truelayer cat'!$D:$D)</f>
        <v>"Was this purchase for trade purposes?"</v>
      </c>
      <c r="F911" t="str">
        <f>_xlfn.XLOOKUP(C911,'Allow&amp;Disa Exp by Truelayer cat'!$B:$B,'Allow&amp;Disa Exp by Truelayer cat'!$E:$E)</f>
        <v>Add back to income</v>
      </c>
    </row>
    <row r="912" spans="1:6" ht="30" x14ac:dyDescent="0.25">
      <c r="A912" t="s">
        <v>447</v>
      </c>
      <c r="B912" t="s">
        <v>1860</v>
      </c>
      <c r="C912" t="s">
        <v>444</v>
      </c>
      <c r="D912" t="str">
        <f>_xlfn.XLOOKUP(C912,'Allow&amp;Disa Exp by Truelayer cat'!$B:$B,'Allow&amp;Disa Exp by Truelayer cat'!$C:$C)</f>
        <v>Review</v>
      </c>
      <c r="E912" s="116" t="str">
        <f>_xlfn.XLOOKUP(C912,'Allow&amp;Disa Exp by Truelayer cat'!$B:$B,'Allow&amp;Disa Exp by Truelayer cat'!$D:$D)</f>
        <v>"Was this purchase for trade purposes?"</v>
      </c>
      <c r="F912" t="str">
        <f>_xlfn.XLOOKUP(C912,'Allow&amp;Disa Exp by Truelayer cat'!$B:$B,'Allow&amp;Disa Exp by Truelayer cat'!$E:$E)</f>
        <v>Add back to income</v>
      </c>
    </row>
    <row r="913" spans="1:6" ht="30" x14ac:dyDescent="0.25">
      <c r="A913" t="s">
        <v>447</v>
      </c>
      <c r="B913" t="s">
        <v>1861</v>
      </c>
      <c r="C913" t="s">
        <v>446</v>
      </c>
      <c r="D913" t="str">
        <f>_xlfn.XLOOKUP(C913,'Allow&amp;Disa Exp by Truelayer cat'!$B:$B,'Allow&amp;Disa Exp by Truelayer cat'!$C:$C)</f>
        <v>Review</v>
      </c>
      <c r="E913" s="116" t="str">
        <f>_xlfn.XLOOKUP(C913,'Allow&amp;Disa Exp by Truelayer cat'!$B:$B,'Allow&amp;Disa Exp by Truelayer cat'!$D:$D)</f>
        <v>"Was this purchase for trade purposes?"</v>
      </c>
      <c r="F913" t="str">
        <f>_xlfn.XLOOKUP(C913,'Allow&amp;Disa Exp by Truelayer cat'!$B:$B,'Allow&amp;Disa Exp by Truelayer cat'!$E:$E)</f>
        <v>Add back to income</v>
      </c>
    </row>
    <row r="914" spans="1:6" ht="30" x14ac:dyDescent="0.25">
      <c r="A914" t="s">
        <v>447</v>
      </c>
      <c r="B914" t="s">
        <v>1862</v>
      </c>
      <c r="C914" t="s">
        <v>447</v>
      </c>
      <c r="D914" t="str">
        <f>_xlfn.XLOOKUP(C914,'Allow&amp;Disa Exp by Truelayer cat'!$B:$B,'Allow&amp;Disa Exp by Truelayer cat'!$C:$C)</f>
        <v>Review</v>
      </c>
      <c r="E914" s="116" t="str">
        <f>_xlfn.XLOOKUP(C914,'Allow&amp;Disa Exp by Truelayer cat'!$B:$B,'Allow&amp;Disa Exp by Truelayer cat'!$D:$D)</f>
        <v>"Was this purchase for trade purposes?"</v>
      </c>
      <c r="F914" t="str">
        <f>_xlfn.XLOOKUP(C914,'Allow&amp;Disa Exp by Truelayer cat'!$B:$B,'Allow&amp;Disa Exp by Truelayer cat'!$E:$E)</f>
        <v xml:space="preserve"> If not for trade, then disallow and add back to income. - Prompt user to add receipt for VAT or just evidence</v>
      </c>
    </row>
    <row r="915" spans="1:6" ht="30" x14ac:dyDescent="0.25">
      <c r="A915" t="s">
        <v>447</v>
      </c>
      <c r="B915" t="s">
        <v>1863</v>
      </c>
      <c r="C915" t="s">
        <v>447</v>
      </c>
      <c r="D915" t="str">
        <f>_xlfn.XLOOKUP(C915,'Allow&amp;Disa Exp by Truelayer cat'!$B:$B,'Allow&amp;Disa Exp by Truelayer cat'!$C:$C)</f>
        <v>Review</v>
      </c>
      <c r="E915" s="116" t="str">
        <f>_xlfn.XLOOKUP(C915,'Allow&amp;Disa Exp by Truelayer cat'!$B:$B,'Allow&amp;Disa Exp by Truelayer cat'!$D:$D)</f>
        <v>"Was this purchase for trade purposes?"</v>
      </c>
      <c r="F915" t="str">
        <f>_xlfn.XLOOKUP(C915,'Allow&amp;Disa Exp by Truelayer cat'!$B:$B,'Allow&amp;Disa Exp by Truelayer cat'!$E:$E)</f>
        <v xml:space="preserve"> If not for trade, then disallow and add back to income. - Prompt user to add receipt for VAT or just evidence</v>
      </c>
    </row>
    <row r="916" spans="1:6" ht="30" x14ac:dyDescent="0.25">
      <c r="A916" t="s">
        <v>447</v>
      </c>
      <c r="B916" t="s">
        <v>1864</v>
      </c>
      <c r="C916" t="s">
        <v>447</v>
      </c>
      <c r="D916" t="str">
        <f>_xlfn.XLOOKUP(C916,'Allow&amp;Disa Exp by Truelayer cat'!$B:$B,'Allow&amp;Disa Exp by Truelayer cat'!$C:$C)</f>
        <v>Review</v>
      </c>
      <c r="E916" s="116" t="str">
        <f>_xlfn.XLOOKUP(C916,'Allow&amp;Disa Exp by Truelayer cat'!$B:$B,'Allow&amp;Disa Exp by Truelayer cat'!$D:$D)</f>
        <v>"Was this purchase for trade purposes?"</v>
      </c>
      <c r="F916" t="str">
        <f>_xlfn.XLOOKUP(C916,'Allow&amp;Disa Exp by Truelayer cat'!$B:$B,'Allow&amp;Disa Exp by Truelayer cat'!$E:$E)</f>
        <v xml:space="preserve"> If not for trade, then disallow and add back to income. - Prompt user to add receipt for VAT or just evidence</v>
      </c>
    </row>
    <row r="917" spans="1:6" ht="30" x14ac:dyDescent="0.25">
      <c r="A917" t="s">
        <v>447</v>
      </c>
      <c r="B917" t="s">
        <v>1865</v>
      </c>
      <c r="C917" t="s">
        <v>446</v>
      </c>
      <c r="D917" t="str">
        <f>_xlfn.XLOOKUP(C917,'Allow&amp;Disa Exp by Truelayer cat'!$B:$B,'Allow&amp;Disa Exp by Truelayer cat'!$C:$C)</f>
        <v>Review</v>
      </c>
      <c r="E917" s="116" t="str">
        <f>_xlfn.XLOOKUP(C917,'Allow&amp;Disa Exp by Truelayer cat'!$B:$B,'Allow&amp;Disa Exp by Truelayer cat'!$D:$D)</f>
        <v>"Was this purchase for trade purposes?"</v>
      </c>
      <c r="F917" t="str">
        <f>_xlfn.XLOOKUP(C917,'Allow&amp;Disa Exp by Truelayer cat'!$B:$B,'Allow&amp;Disa Exp by Truelayer cat'!$E:$E)</f>
        <v>Add back to income</v>
      </c>
    </row>
    <row r="918" spans="1:6" ht="30" x14ac:dyDescent="0.25">
      <c r="A918" t="s">
        <v>447</v>
      </c>
      <c r="B918" t="s">
        <v>1578</v>
      </c>
      <c r="C918" t="s">
        <v>445</v>
      </c>
      <c r="D918" t="str">
        <f>_xlfn.XLOOKUP(C918,'Allow&amp;Disa Exp by Truelayer cat'!$B:$B,'Allow&amp;Disa Exp by Truelayer cat'!$C:$C)</f>
        <v>Review</v>
      </c>
      <c r="E918" s="116" t="str">
        <f>_xlfn.XLOOKUP(C918,'Allow&amp;Disa Exp by Truelayer cat'!$B:$B,'Allow&amp;Disa Exp by Truelayer cat'!$D:$D)</f>
        <v>"Was this purchase for trade purposes?"</v>
      </c>
      <c r="F918" t="str">
        <f>_xlfn.XLOOKUP(C918,'Allow&amp;Disa Exp by Truelayer cat'!$B:$B,'Allow&amp;Disa Exp by Truelayer cat'!$E:$E)</f>
        <v xml:space="preserve"> If not for trade, then disallow and add back to income. - Prompt user to add receipt for VAT or just evidence</v>
      </c>
    </row>
    <row r="919" spans="1:6" ht="30" x14ac:dyDescent="0.25">
      <c r="A919" t="s">
        <v>447</v>
      </c>
      <c r="B919" t="s">
        <v>1866</v>
      </c>
      <c r="C919" t="s">
        <v>447</v>
      </c>
      <c r="D919" t="str">
        <f>_xlfn.XLOOKUP(C919,'Allow&amp;Disa Exp by Truelayer cat'!$B:$B,'Allow&amp;Disa Exp by Truelayer cat'!$C:$C)</f>
        <v>Review</v>
      </c>
      <c r="E919" s="116" t="str">
        <f>_xlfn.XLOOKUP(C919,'Allow&amp;Disa Exp by Truelayer cat'!$B:$B,'Allow&amp;Disa Exp by Truelayer cat'!$D:$D)</f>
        <v>"Was this purchase for trade purposes?"</v>
      </c>
      <c r="F919" t="str">
        <f>_xlfn.XLOOKUP(C919,'Allow&amp;Disa Exp by Truelayer cat'!$B:$B,'Allow&amp;Disa Exp by Truelayer cat'!$E:$E)</f>
        <v xml:space="preserve"> If not for trade, then disallow and add back to income. - Prompt user to add receipt for VAT or just evidence</v>
      </c>
    </row>
    <row r="920" spans="1:6" ht="30" x14ac:dyDescent="0.25">
      <c r="A920" t="s">
        <v>447</v>
      </c>
      <c r="B920" t="s">
        <v>1867</v>
      </c>
      <c r="C920" t="s">
        <v>447</v>
      </c>
      <c r="D920" t="str">
        <f>_xlfn.XLOOKUP(C920,'Allow&amp;Disa Exp by Truelayer cat'!$B:$B,'Allow&amp;Disa Exp by Truelayer cat'!$C:$C)</f>
        <v>Review</v>
      </c>
      <c r="E920" s="116" t="str">
        <f>_xlfn.XLOOKUP(C920,'Allow&amp;Disa Exp by Truelayer cat'!$B:$B,'Allow&amp;Disa Exp by Truelayer cat'!$D:$D)</f>
        <v>"Was this purchase for trade purposes?"</v>
      </c>
      <c r="F920" t="str">
        <f>_xlfn.XLOOKUP(C920,'Allow&amp;Disa Exp by Truelayer cat'!$B:$B,'Allow&amp;Disa Exp by Truelayer cat'!$E:$E)</f>
        <v xml:space="preserve"> If not for trade, then disallow and add back to income. - Prompt user to add receipt for VAT or just evidence</v>
      </c>
    </row>
    <row r="921" spans="1:6" ht="30" x14ac:dyDescent="0.25">
      <c r="A921" t="s">
        <v>447</v>
      </c>
      <c r="B921" t="s">
        <v>1868</v>
      </c>
      <c r="C921" t="s">
        <v>447</v>
      </c>
      <c r="D921" t="str">
        <f>_xlfn.XLOOKUP(C921,'Allow&amp;Disa Exp by Truelayer cat'!$B:$B,'Allow&amp;Disa Exp by Truelayer cat'!$C:$C)</f>
        <v>Review</v>
      </c>
      <c r="E921" s="116" t="str">
        <f>_xlfn.XLOOKUP(C921,'Allow&amp;Disa Exp by Truelayer cat'!$B:$B,'Allow&amp;Disa Exp by Truelayer cat'!$D:$D)</f>
        <v>"Was this purchase for trade purposes?"</v>
      </c>
      <c r="F921" t="str">
        <f>_xlfn.XLOOKUP(C921,'Allow&amp;Disa Exp by Truelayer cat'!$B:$B,'Allow&amp;Disa Exp by Truelayer cat'!$E:$E)</f>
        <v xml:space="preserve"> If not for trade, then disallow and add back to income. - Prompt user to add receipt for VAT or just evidence</v>
      </c>
    </row>
    <row r="922" spans="1:6" ht="30" x14ac:dyDescent="0.25">
      <c r="A922" t="s">
        <v>447</v>
      </c>
      <c r="B922" t="s">
        <v>1869</v>
      </c>
      <c r="C922" t="s">
        <v>446</v>
      </c>
      <c r="D922" t="str">
        <f>_xlfn.XLOOKUP(C922,'Allow&amp;Disa Exp by Truelayer cat'!$B:$B,'Allow&amp;Disa Exp by Truelayer cat'!$C:$C)</f>
        <v>Review</v>
      </c>
      <c r="E922" s="116" t="str">
        <f>_xlfn.XLOOKUP(C922,'Allow&amp;Disa Exp by Truelayer cat'!$B:$B,'Allow&amp;Disa Exp by Truelayer cat'!$D:$D)</f>
        <v>"Was this purchase for trade purposes?"</v>
      </c>
      <c r="F922" t="str">
        <f>_xlfn.XLOOKUP(C922,'Allow&amp;Disa Exp by Truelayer cat'!$B:$B,'Allow&amp;Disa Exp by Truelayer cat'!$E:$E)</f>
        <v>Add back to income</v>
      </c>
    </row>
    <row r="923" spans="1:6" ht="30" x14ac:dyDescent="0.25">
      <c r="A923" t="s">
        <v>447</v>
      </c>
      <c r="B923" t="s">
        <v>1870</v>
      </c>
      <c r="C923" t="s">
        <v>446</v>
      </c>
      <c r="D923" t="str">
        <f>_xlfn.XLOOKUP(C923,'Allow&amp;Disa Exp by Truelayer cat'!$B:$B,'Allow&amp;Disa Exp by Truelayer cat'!$C:$C)</f>
        <v>Review</v>
      </c>
      <c r="E923" s="116" t="str">
        <f>_xlfn.XLOOKUP(C923,'Allow&amp;Disa Exp by Truelayer cat'!$B:$B,'Allow&amp;Disa Exp by Truelayer cat'!$D:$D)</f>
        <v>"Was this purchase for trade purposes?"</v>
      </c>
      <c r="F923" t="str">
        <f>_xlfn.XLOOKUP(C923,'Allow&amp;Disa Exp by Truelayer cat'!$B:$B,'Allow&amp;Disa Exp by Truelayer cat'!$E:$E)</f>
        <v>Add back to income</v>
      </c>
    </row>
    <row r="924" spans="1:6" ht="30" x14ac:dyDescent="0.25">
      <c r="A924" t="s">
        <v>447</v>
      </c>
      <c r="B924" t="s">
        <v>1871</v>
      </c>
      <c r="C924" t="s">
        <v>447</v>
      </c>
      <c r="D924" t="str">
        <f>_xlfn.XLOOKUP(C924,'Allow&amp;Disa Exp by Truelayer cat'!$B:$B,'Allow&amp;Disa Exp by Truelayer cat'!$C:$C)</f>
        <v>Review</v>
      </c>
      <c r="E924" s="116" t="str">
        <f>_xlfn.XLOOKUP(C924,'Allow&amp;Disa Exp by Truelayer cat'!$B:$B,'Allow&amp;Disa Exp by Truelayer cat'!$D:$D)</f>
        <v>"Was this purchase for trade purposes?"</v>
      </c>
      <c r="F924" t="str">
        <f>_xlfn.XLOOKUP(C924,'Allow&amp;Disa Exp by Truelayer cat'!$B:$B,'Allow&amp;Disa Exp by Truelayer cat'!$E:$E)</f>
        <v xml:space="preserve"> If not for trade, then disallow and add back to income. - Prompt user to add receipt for VAT or just evidence</v>
      </c>
    </row>
    <row r="925" spans="1:6" ht="30" x14ac:dyDescent="0.25">
      <c r="A925" t="s">
        <v>447</v>
      </c>
      <c r="B925" t="s">
        <v>1872</v>
      </c>
      <c r="C925" t="s">
        <v>445</v>
      </c>
      <c r="D925" t="str">
        <f>_xlfn.XLOOKUP(C925,'Allow&amp;Disa Exp by Truelayer cat'!$B:$B,'Allow&amp;Disa Exp by Truelayer cat'!$C:$C)</f>
        <v>Review</v>
      </c>
      <c r="E925" s="116" t="str">
        <f>_xlfn.XLOOKUP(C925,'Allow&amp;Disa Exp by Truelayer cat'!$B:$B,'Allow&amp;Disa Exp by Truelayer cat'!$D:$D)</f>
        <v>"Was this purchase for trade purposes?"</v>
      </c>
      <c r="F925" t="str">
        <f>_xlfn.XLOOKUP(C925,'Allow&amp;Disa Exp by Truelayer cat'!$B:$B,'Allow&amp;Disa Exp by Truelayer cat'!$E:$E)</f>
        <v xml:space="preserve"> If not for trade, then disallow and add back to income. - Prompt user to add receipt for VAT or just evidence</v>
      </c>
    </row>
    <row r="926" spans="1:6" ht="30" x14ac:dyDescent="0.25">
      <c r="A926" t="s">
        <v>1873</v>
      </c>
      <c r="B926" t="s">
        <v>1621</v>
      </c>
      <c r="C926" t="s">
        <v>477</v>
      </c>
      <c r="D926" t="str">
        <f>_xlfn.XLOOKUP(C926,'Allow&amp;Disa Exp by Truelayer cat'!$B:$B,'Allow&amp;Disa Exp by Truelayer cat'!$C:$C)</f>
        <v>Review</v>
      </c>
      <c r="E926" s="116" t="str">
        <f>_xlfn.XLOOKUP(C926,'Allow&amp;Disa Exp by Truelayer cat'!$B:$B,'Allow&amp;Disa Exp by Truelayer cat'!$D:$D)</f>
        <v>"Was this purchase for trade purposes?"</v>
      </c>
      <c r="F926" t="str">
        <f>_xlfn.XLOOKUP(C926,'Allow&amp;Disa Exp by Truelayer cat'!$B:$B,'Allow&amp;Disa Exp by Truelayer cat'!$E:$E)</f>
        <v>If not for trade, then disallow and add back to income. - Prompt user to add receipt for VAT or just evidence</v>
      </c>
    </row>
    <row r="927" spans="1:6" ht="30" x14ac:dyDescent="0.25">
      <c r="A927" t="s">
        <v>1873</v>
      </c>
      <c r="B927" t="s">
        <v>1874</v>
      </c>
      <c r="C927" t="s">
        <v>477</v>
      </c>
      <c r="D927" t="str">
        <f>_xlfn.XLOOKUP(C927,'Allow&amp;Disa Exp by Truelayer cat'!$B:$B,'Allow&amp;Disa Exp by Truelayer cat'!$C:$C)</f>
        <v>Review</v>
      </c>
      <c r="E927" s="116" t="str">
        <f>_xlfn.XLOOKUP(C927,'Allow&amp;Disa Exp by Truelayer cat'!$B:$B,'Allow&amp;Disa Exp by Truelayer cat'!$D:$D)</f>
        <v>"Was this purchase for trade purposes?"</v>
      </c>
      <c r="F927" t="str">
        <f>_xlfn.XLOOKUP(C927,'Allow&amp;Disa Exp by Truelayer cat'!$B:$B,'Allow&amp;Disa Exp by Truelayer cat'!$E:$E)</f>
        <v>If not for trade, then disallow and add back to income. - Prompt user to add receipt for VAT or just evidence</v>
      </c>
    </row>
    <row r="928" spans="1:6" ht="30" x14ac:dyDescent="0.25">
      <c r="A928" t="s">
        <v>1873</v>
      </c>
      <c r="B928" t="s">
        <v>1875</v>
      </c>
      <c r="C928" t="s">
        <v>477</v>
      </c>
      <c r="D928" t="str">
        <f>_xlfn.XLOOKUP(C928,'Allow&amp;Disa Exp by Truelayer cat'!$B:$B,'Allow&amp;Disa Exp by Truelayer cat'!$C:$C)</f>
        <v>Review</v>
      </c>
      <c r="E928" s="116" t="str">
        <f>_xlfn.XLOOKUP(C928,'Allow&amp;Disa Exp by Truelayer cat'!$B:$B,'Allow&amp;Disa Exp by Truelayer cat'!$D:$D)</f>
        <v>"Was this purchase for trade purposes?"</v>
      </c>
      <c r="F928" t="str">
        <f>_xlfn.XLOOKUP(C928,'Allow&amp;Disa Exp by Truelayer cat'!$B:$B,'Allow&amp;Disa Exp by Truelayer cat'!$E:$E)</f>
        <v>If not for trade, then disallow and add back to income. - Prompt user to add receipt for VAT or just evidence</v>
      </c>
    </row>
    <row r="929" spans="1:6" ht="30" x14ac:dyDescent="0.25">
      <c r="A929" t="s">
        <v>1873</v>
      </c>
      <c r="B929" t="s">
        <v>1627</v>
      </c>
      <c r="C929" t="s">
        <v>477</v>
      </c>
      <c r="D929" t="str">
        <f>_xlfn.XLOOKUP(C929,'Allow&amp;Disa Exp by Truelayer cat'!$B:$B,'Allow&amp;Disa Exp by Truelayer cat'!$C:$C)</f>
        <v>Review</v>
      </c>
      <c r="E929" s="116" t="str">
        <f>_xlfn.XLOOKUP(C929,'Allow&amp;Disa Exp by Truelayer cat'!$B:$B,'Allow&amp;Disa Exp by Truelayer cat'!$D:$D)</f>
        <v>"Was this purchase for trade purposes?"</v>
      </c>
      <c r="F929" t="str">
        <f>_xlfn.XLOOKUP(C929,'Allow&amp;Disa Exp by Truelayer cat'!$B:$B,'Allow&amp;Disa Exp by Truelayer cat'!$E:$E)</f>
        <v>If not for trade, then disallow and add back to income. - Prompt user to add receipt for VAT or just evidence</v>
      </c>
    </row>
    <row r="930" spans="1:6" ht="30" x14ac:dyDescent="0.25">
      <c r="A930" t="s">
        <v>1873</v>
      </c>
      <c r="B930" t="s">
        <v>1876</v>
      </c>
      <c r="C930" t="s">
        <v>477</v>
      </c>
      <c r="D930" t="str">
        <f>_xlfn.XLOOKUP(C930,'Allow&amp;Disa Exp by Truelayer cat'!$B:$B,'Allow&amp;Disa Exp by Truelayer cat'!$C:$C)</f>
        <v>Review</v>
      </c>
      <c r="E930" s="116" t="str">
        <f>_xlfn.XLOOKUP(C930,'Allow&amp;Disa Exp by Truelayer cat'!$B:$B,'Allow&amp;Disa Exp by Truelayer cat'!$D:$D)</f>
        <v>"Was this purchase for trade purposes?"</v>
      </c>
      <c r="F930" t="str">
        <f>_xlfn.XLOOKUP(C930,'Allow&amp;Disa Exp by Truelayer cat'!$B:$B,'Allow&amp;Disa Exp by Truelayer cat'!$E:$E)</f>
        <v>If not for trade, then disallow and add back to income. - Prompt user to add receipt for VAT or just evidence</v>
      </c>
    </row>
    <row r="931" spans="1:6" ht="30" x14ac:dyDescent="0.25">
      <c r="A931" t="s">
        <v>1873</v>
      </c>
      <c r="B931" t="s">
        <v>1630</v>
      </c>
      <c r="C931" t="s">
        <v>477</v>
      </c>
      <c r="D931" t="str">
        <f>_xlfn.XLOOKUP(C931,'Allow&amp;Disa Exp by Truelayer cat'!$B:$B,'Allow&amp;Disa Exp by Truelayer cat'!$C:$C)</f>
        <v>Review</v>
      </c>
      <c r="E931" s="116" t="str">
        <f>_xlfn.XLOOKUP(C931,'Allow&amp;Disa Exp by Truelayer cat'!$B:$B,'Allow&amp;Disa Exp by Truelayer cat'!$D:$D)</f>
        <v>"Was this purchase for trade purposes?"</v>
      </c>
      <c r="F931" t="str">
        <f>_xlfn.XLOOKUP(C931,'Allow&amp;Disa Exp by Truelayer cat'!$B:$B,'Allow&amp;Disa Exp by Truelayer cat'!$E:$E)</f>
        <v>If not for trade, then disallow and add back to income. - Prompt user to add receipt for VAT or just evidence</v>
      </c>
    </row>
    <row r="932" spans="1:6" ht="30" x14ac:dyDescent="0.25">
      <c r="A932" t="s">
        <v>1873</v>
      </c>
      <c r="B932" t="s">
        <v>1633</v>
      </c>
      <c r="C932" t="s">
        <v>477</v>
      </c>
      <c r="D932" t="str">
        <f>_xlfn.XLOOKUP(C932,'Allow&amp;Disa Exp by Truelayer cat'!$B:$B,'Allow&amp;Disa Exp by Truelayer cat'!$C:$C)</f>
        <v>Review</v>
      </c>
      <c r="E932" s="116" t="str">
        <f>_xlfn.XLOOKUP(C932,'Allow&amp;Disa Exp by Truelayer cat'!$B:$B,'Allow&amp;Disa Exp by Truelayer cat'!$D:$D)</f>
        <v>"Was this purchase for trade purposes?"</v>
      </c>
      <c r="F932" t="str">
        <f>_xlfn.XLOOKUP(C932,'Allow&amp;Disa Exp by Truelayer cat'!$B:$B,'Allow&amp;Disa Exp by Truelayer cat'!$E:$E)</f>
        <v>If not for trade, then disallow and add back to income. - Prompt user to add receipt for VAT or just evidence</v>
      </c>
    </row>
    <row r="933" spans="1:6" ht="30" x14ac:dyDescent="0.25">
      <c r="A933" t="s">
        <v>1873</v>
      </c>
      <c r="B933" t="s">
        <v>1635</v>
      </c>
      <c r="C933" t="s">
        <v>477</v>
      </c>
      <c r="D933" t="str">
        <f>_xlfn.XLOOKUP(C933,'Allow&amp;Disa Exp by Truelayer cat'!$B:$B,'Allow&amp;Disa Exp by Truelayer cat'!$C:$C)</f>
        <v>Review</v>
      </c>
      <c r="E933" s="116" t="str">
        <f>_xlfn.XLOOKUP(C933,'Allow&amp;Disa Exp by Truelayer cat'!$B:$B,'Allow&amp;Disa Exp by Truelayer cat'!$D:$D)</f>
        <v>"Was this purchase for trade purposes?"</v>
      </c>
      <c r="F933" t="str">
        <f>_xlfn.XLOOKUP(C933,'Allow&amp;Disa Exp by Truelayer cat'!$B:$B,'Allow&amp;Disa Exp by Truelayer cat'!$E:$E)</f>
        <v>If not for trade, then disallow and add back to income. - Prompt user to add receipt for VAT or just evidence</v>
      </c>
    </row>
    <row r="934" spans="1:6" ht="30" x14ac:dyDescent="0.25">
      <c r="A934" t="s">
        <v>1873</v>
      </c>
      <c r="B934" t="s">
        <v>1877</v>
      </c>
      <c r="C934" t="s">
        <v>477</v>
      </c>
      <c r="D934" t="str">
        <f>_xlfn.XLOOKUP(C934,'Allow&amp;Disa Exp by Truelayer cat'!$B:$B,'Allow&amp;Disa Exp by Truelayer cat'!$C:$C)</f>
        <v>Review</v>
      </c>
      <c r="E934" s="116" t="str">
        <f>_xlfn.XLOOKUP(C934,'Allow&amp;Disa Exp by Truelayer cat'!$B:$B,'Allow&amp;Disa Exp by Truelayer cat'!$D:$D)</f>
        <v>"Was this purchase for trade purposes?"</v>
      </c>
      <c r="F934" t="str">
        <f>_xlfn.XLOOKUP(C934,'Allow&amp;Disa Exp by Truelayer cat'!$B:$B,'Allow&amp;Disa Exp by Truelayer cat'!$E:$E)</f>
        <v>If not for trade, then disallow and add back to income. - Prompt user to add receipt for VAT or just evidence</v>
      </c>
    </row>
    <row r="935" spans="1:6" ht="30" x14ac:dyDescent="0.25">
      <c r="A935" t="s">
        <v>1873</v>
      </c>
      <c r="B935" t="s">
        <v>1878</v>
      </c>
      <c r="C935" t="s">
        <v>477</v>
      </c>
      <c r="D935" t="str">
        <f>_xlfn.XLOOKUP(C935,'Allow&amp;Disa Exp by Truelayer cat'!$B:$B,'Allow&amp;Disa Exp by Truelayer cat'!$C:$C)</f>
        <v>Review</v>
      </c>
      <c r="E935" s="116" t="str">
        <f>_xlfn.XLOOKUP(C935,'Allow&amp;Disa Exp by Truelayer cat'!$B:$B,'Allow&amp;Disa Exp by Truelayer cat'!$D:$D)</f>
        <v>"Was this purchase for trade purposes?"</v>
      </c>
      <c r="F935" t="str">
        <f>_xlfn.XLOOKUP(C935,'Allow&amp;Disa Exp by Truelayer cat'!$B:$B,'Allow&amp;Disa Exp by Truelayer cat'!$E:$E)</f>
        <v>If not for trade, then disallow and add back to income. - Prompt user to add receipt for VAT or just evidence</v>
      </c>
    </row>
    <row r="936" spans="1:6" ht="30" x14ac:dyDescent="0.25">
      <c r="A936" t="s">
        <v>1873</v>
      </c>
      <c r="B936" t="s">
        <v>1879</v>
      </c>
      <c r="C936" t="s">
        <v>477</v>
      </c>
      <c r="D936" t="str">
        <f>_xlfn.XLOOKUP(C936,'Allow&amp;Disa Exp by Truelayer cat'!$B:$B,'Allow&amp;Disa Exp by Truelayer cat'!$C:$C)</f>
        <v>Review</v>
      </c>
      <c r="E936" s="116" t="str">
        <f>_xlfn.XLOOKUP(C936,'Allow&amp;Disa Exp by Truelayer cat'!$B:$B,'Allow&amp;Disa Exp by Truelayer cat'!$D:$D)</f>
        <v>"Was this purchase for trade purposes?"</v>
      </c>
      <c r="F936" t="str">
        <f>_xlfn.XLOOKUP(C936,'Allow&amp;Disa Exp by Truelayer cat'!$B:$B,'Allow&amp;Disa Exp by Truelayer cat'!$E:$E)</f>
        <v>If not for trade, then disallow and add back to income. - Prompt user to add receipt for VAT or just evidence</v>
      </c>
    </row>
    <row r="937" spans="1:6" ht="30" x14ac:dyDescent="0.25">
      <c r="A937" t="s">
        <v>1873</v>
      </c>
      <c r="B937" t="s">
        <v>1880</v>
      </c>
      <c r="C937" t="s">
        <v>477</v>
      </c>
      <c r="D937" t="str">
        <f>_xlfn.XLOOKUP(C937,'Allow&amp;Disa Exp by Truelayer cat'!$B:$B,'Allow&amp;Disa Exp by Truelayer cat'!$C:$C)</f>
        <v>Review</v>
      </c>
      <c r="E937" s="116" t="str">
        <f>_xlfn.XLOOKUP(C937,'Allow&amp;Disa Exp by Truelayer cat'!$B:$B,'Allow&amp;Disa Exp by Truelayer cat'!$D:$D)</f>
        <v>"Was this purchase for trade purposes?"</v>
      </c>
      <c r="F937" t="str">
        <f>_xlfn.XLOOKUP(C937,'Allow&amp;Disa Exp by Truelayer cat'!$B:$B,'Allow&amp;Disa Exp by Truelayer cat'!$E:$E)</f>
        <v>If not for trade, then disallow and add back to income. - Prompt user to add receipt for VAT or just evidence</v>
      </c>
    </row>
    <row r="938" spans="1:6" ht="30" x14ac:dyDescent="0.25">
      <c r="A938" t="s">
        <v>1873</v>
      </c>
      <c r="B938" t="s">
        <v>1644</v>
      </c>
      <c r="C938" t="s">
        <v>477</v>
      </c>
      <c r="D938" t="str">
        <f>_xlfn.XLOOKUP(C938,'Allow&amp;Disa Exp by Truelayer cat'!$B:$B,'Allow&amp;Disa Exp by Truelayer cat'!$C:$C)</f>
        <v>Review</v>
      </c>
      <c r="E938" s="116" t="str">
        <f>_xlfn.XLOOKUP(C938,'Allow&amp;Disa Exp by Truelayer cat'!$B:$B,'Allow&amp;Disa Exp by Truelayer cat'!$D:$D)</f>
        <v>"Was this purchase for trade purposes?"</v>
      </c>
      <c r="F938" t="str">
        <f>_xlfn.XLOOKUP(C938,'Allow&amp;Disa Exp by Truelayer cat'!$B:$B,'Allow&amp;Disa Exp by Truelayer cat'!$E:$E)</f>
        <v>If not for trade, then disallow and add back to income. - Prompt user to add receipt for VAT or just evidence</v>
      </c>
    </row>
    <row r="939" spans="1:6" ht="30" x14ac:dyDescent="0.25">
      <c r="A939" t="s">
        <v>1873</v>
      </c>
      <c r="B939" t="s">
        <v>1647</v>
      </c>
      <c r="C939" t="s">
        <v>477</v>
      </c>
      <c r="D939" t="str">
        <f>_xlfn.XLOOKUP(C939,'Allow&amp;Disa Exp by Truelayer cat'!$B:$B,'Allow&amp;Disa Exp by Truelayer cat'!$C:$C)</f>
        <v>Review</v>
      </c>
      <c r="E939" s="116" t="str">
        <f>_xlfn.XLOOKUP(C939,'Allow&amp;Disa Exp by Truelayer cat'!$B:$B,'Allow&amp;Disa Exp by Truelayer cat'!$D:$D)</f>
        <v>"Was this purchase for trade purposes?"</v>
      </c>
      <c r="F939" t="str">
        <f>_xlfn.XLOOKUP(C939,'Allow&amp;Disa Exp by Truelayer cat'!$B:$B,'Allow&amp;Disa Exp by Truelayer cat'!$E:$E)</f>
        <v>If not for trade, then disallow and add back to income. - Prompt user to add receipt for VAT or just evidence</v>
      </c>
    </row>
    <row r="940" spans="1:6" ht="30" x14ac:dyDescent="0.25">
      <c r="A940" t="s">
        <v>1873</v>
      </c>
      <c r="B940" t="s">
        <v>1881</v>
      </c>
      <c r="C940" t="s">
        <v>477</v>
      </c>
      <c r="D940" t="str">
        <f>_xlfn.XLOOKUP(C940,'Allow&amp;Disa Exp by Truelayer cat'!$B:$B,'Allow&amp;Disa Exp by Truelayer cat'!$C:$C)</f>
        <v>Review</v>
      </c>
      <c r="E940" s="116" t="str">
        <f>_xlfn.XLOOKUP(C940,'Allow&amp;Disa Exp by Truelayer cat'!$B:$B,'Allow&amp;Disa Exp by Truelayer cat'!$D:$D)</f>
        <v>"Was this purchase for trade purposes?"</v>
      </c>
      <c r="F940" t="str">
        <f>_xlfn.XLOOKUP(C940,'Allow&amp;Disa Exp by Truelayer cat'!$B:$B,'Allow&amp;Disa Exp by Truelayer cat'!$E:$E)</f>
        <v>If not for trade, then disallow and add back to income. - Prompt user to add receipt for VAT or just evidence</v>
      </c>
    </row>
    <row r="941" spans="1:6" ht="30" x14ac:dyDescent="0.25">
      <c r="A941" t="s">
        <v>1873</v>
      </c>
      <c r="B941" t="s">
        <v>1882</v>
      </c>
      <c r="C941" t="s">
        <v>477</v>
      </c>
      <c r="D941" t="str">
        <f>_xlfn.XLOOKUP(C941,'Allow&amp;Disa Exp by Truelayer cat'!$B:$B,'Allow&amp;Disa Exp by Truelayer cat'!$C:$C)</f>
        <v>Review</v>
      </c>
      <c r="E941" s="116" t="str">
        <f>_xlfn.XLOOKUP(C941,'Allow&amp;Disa Exp by Truelayer cat'!$B:$B,'Allow&amp;Disa Exp by Truelayer cat'!$D:$D)</f>
        <v>"Was this purchase for trade purposes?"</v>
      </c>
      <c r="F941" t="str">
        <f>_xlfn.XLOOKUP(C941,'Allow&amp;Disa Exp by Truelayer cat'!$B:$B,'Allow&amp;Disa Exp by Truelayer cat'!$E:$E)</f>
        <v>If not for trade, then disallow and add back to income. - Prompt user to add receipt for VAT or just evidence</v>
      </c>
    </row>
    <row r="942" spans="1:6" ht="30" x14ac:dyDescent="0.25">
      <c r="A942" t="s">
        <v>1873</v>
      </c>
      <c r="B942" t="s">
        <v>1650</v>
      </c>
      <c r="C942" t="s">
        <v>477</v>
      </c>
      <c r="D942" t="str">
        <f>_xlfn.XLOOKUP(C942,'Allow&amp;Disa Exp by Truelayer cat'!$B:$B,'Allow&amp;Disa Exp by Truelayer cat'!$C:$C)</f>
        <v>Review</v>
      </c>
      <c r="E942" s="116" t="str">
        <f>_xlfn.XLOOKUP(C942,'Allow&amp;Disa Exp by Truelayer cat'!$B:$B,'Allow&amp;Disa Exp by Truelayer cat'!$D:$D)</f>
        <v>"Was this purchase for trade purposes?"</v>
      </c>
      <c r="F942" t="str">
        <f>_xlfn.XLOOKUP(C942,'Allow&amp;Disa Exp by Truelayer cat'!$B:$B,'Allow&amp;Disa Exp by Truelayer cat'!$E:$E)</f>
        <v>If not for trade, then disallow and add back to income. - Prompt user to add receipt for VAT or just evidence</v>
      </c>
    </row>
    <row r="943" spans="1:6" ht="30" x14ac:dyDescent="0.25">
      <c r="A943" t="s">
        <v>1873</v>
      </c>
      <c r="B943" t="s">
        <v>1651</v>
      </c>
      <c r="C943" t="s">
        <v>477</v>
      </c>
      <c r="D943" t="str">
        <f>_xlfn.XLOOKUP(C943,'Allow&amp;Disa Exp by Truelayer cat'!$B:$B,'Allow&amp;Disa Exp by Truelayer cat'!$C:$C)</f>
        <v>Review</v>
      </c>
      <c r="E943" s="116" t="str">
        <f>_xlfn.XLOOKUP(C943,'Allow&amp;Disa Exp by Truelayer cat'!$B:$B,'Allow&amp;Disa Exp by Truelayer cat'!$D:$D)</f>
        <v>"Was this purchase for trade purposes?"</v>
      </c>
      <c r="F943" t="str">
        <f>_xlfn.XLOOKUP(C943,'Allow&amp;Disa Exp by Truelayer cat'!$B:$B,'Allow&amp;Disa Exp by Truelayer cat'!$E:$E)</f>
        <v>If not for trade, then disallow and add back to income. - Prompt user to add receipt for VAT or just evidence</v>
      </c>
    </row>
    <row r="944" spans="1:6" ht="30" x14ac:dyDescent="0.25">
      <c r="A944" t="s">
        <v>1873</v>
      </c>
      <c r="B944" t="s">
        <v>1883</v>
      </c>
      <c r="C944" t="s">
        <v>477</v>
      </c>
      <c r="D944" t="str">
        <f>_xlfn.XLOOKUP(C944,'Allow&amp;Disa Exp by Truelayer cat'!$B:$B,'Allow&amp;Disa Exp by Truelayer cat'!$C:$C)</f>
        <v>Review</v>
      </c>
      <c r="E944" s="116" t="str">
        <f>_xlfn.XLOOKUP(C944,'Allow&amp;Disa Exp by Truelayer cat'!$B:$B,'Allow&amp;Disa Exp by Truelayer cat'!$D:$D)</f>
        <v>"Was this purchase for trade purposes?"</v>
      </c>
      <c r="F944" t="str">
        <f>_xlfn.XLOOKUP(C944,'Allow&amp;Disa Exp by Truelayer cat'!$B:$B,'Allow&amp;Disa Exp by Truelayer cat'!$E:$E)</f>
        <v>If not for trade, then disallow and add back to income. - Prompt user to add receipt for VAT or just evidence</v>
      </c>
    </row>
    <row r="945" spans="1:6" x14ac:dyDescent="0.25">
      <c r="A945" t="s">
        <v>1884</v>
      </c>
      <c r="B945" t="s">
        <v>1885</v>
      </c>
      <c r="C945" t="s">
        <v>469</v>
      </c>
      <c r="D945" t="str">
        <f>_xlfn.XLOOKUP(C945,'Allow&amp;Disa Exp by Truelayer cat'!$B:$B,'Allow&amp;Disa Exp by Truelayer cat'!$C:$C)</f>
        <v>Allowable</v>
      </c>
      <c r="E945" s="116">
        <f>_xlfn.XLOOKUP(C945,'Allow&amp;Disa Exp by Truelayer cat'!$B:$B,'Allow&amp;Disa Exp by Truelayer cat'!$D:$D)</f>
        <v>0</v>
      </c>
      <c r="F945" t="str">
        <f>_xlfn.XLOOKUP(C945,'Allow&amp;Disa Exp by Truelayer cat'!$B:$B,'Allow&amp;Disa Exp by Truelayer cat'!$E:$E)</f>
        <v>Deduct from expenses</v>
      </c>
    </row>
    <row r="946" spans="1:6" x14ac:dyDescent="0.25">
      <c r="A946" t="s">
        <v>1884</v>
      </c>
      <c r="B946" t="s">
        <v>1886</v>
      </c>
      <c r="C946" t="s">
        <v>469</v>
      </c>
      <c r="D946" t="str">
        <f>_xlfn.XLOOKUP(C946,'Allow&amp;Disa Exp by Truelayer cat'!$B:$B,'Allow&amp;Disa Exp by Truelayer cat'!$C:$C)</f>
        <v>Allowable</v>
      </c>
      <c r="E946" s="116">
        <f>_xlfn.XLOOKUP(C946,'Allow&amp;Disa Exp by Truelayer cat'!$B:$B,'Allow&amp;Disa Exp by Truelayer cat'!$D:$D)</f>
        <v>0</v>
      </c>
      <c r="F946" t="str">
        <f>_xlfn.XLOOKUP(C946,'Allow&amp;Disa Exp by Truelayer cat'!$B:$B,'Allow&amp;Disa Exp by Truelayer cat'!$E:$E)</f>
        <v>Deduct from expenses</v>
      </c>
    </row>
    <row r="947" spans="1:6" x14ac:dyDescent="0.25">
      <c r="A947" t="s">
        <v>1884</v>
      </c>
      <c r="B947" t="s">
        <v>1887</v>
      </c>
      <c r="C947" t="s">
        <v>469</v>
      </c>
      <c r="D947" t="str">
        <f>_xlfn.XLOOKUP(C947,'Allow&amp;Disa Exp by Truelayer cat'!$B:$B,'Allow&amp;Disa Exp by Truelayer cat'!$C:$C)</f>
        <v>Allowable</v>
      </c>
      <c r="E947" s="116">
        <f>_xlfn.XLOOKUP(C947,'Allow&amp;Disa Exp by Truelayer cat'!$B:$B,'Allow&amp;Disa Exp by Truelayer cat'!$D:$D)</f>
        <v>0</v>
      </c>
      <c r="F947" t="str">
        <f>_xlfn.XLOOKUP(C947,'Allow&amp;Disa Exp by Truelayer cat'!$B:$B,'Allow&amp;Disa Exp by Truelayer cat'!$E:$E)</f>
        <v>Deduct from expenses</v>
      </c>
    </row>
    <row r="948" spans="1:6" x14ac:dyDescent="0.25">
      <c r="A948" t="s">
        <v>1884</v>
      </c>
      <c r="B948" t="s">
        <v>1888</v>
      </c>
      <c r="C948" t="s">
        <v>469</v>
      </c>
      <c r="D948" t="str">
        <f>_xlfn.XLOOKUP(C948,'Allow&amp;Disa Exp by Truelayer cat'!$B:$B,'Allow&amp;Disa Exp by Truelayer cat'!$C:$C)</f>
        <v>Allowable</v>
      </c>
      <c r="E948" s="116">
        <f>_xlfn.XLOOKUP(C948,'Allow&amp;Disa Exp by Truelayer cat'!$B:$B,'Allow&amp;Disa Exp by Truelayer cat'!$D:$D)</f>
        <v>0</v>
      </c>
      <c r="F948" t="str">
        <f>_xlfn.XLOOKUP(C948,'Allow&amp;Disa Exp by Truelayer cat'!$B:$B,'Allow&amp;Disa Exp by Truelayer cat'!$E:$E)</f>
        <v>Deduct from expenses</v>
      </c>
    </row>
    <row r="949" spans="1:6" x14ac:dyDescent="0.25">
      <c r="A949" t="s">
        <v>1884</v>
      </c>
      <c r="B949" t="s">
        <v>1889</v>
      </c>
      <c r="C949" t="s">
        <v>469</v>
      </c>
      <c r="D949" t="str">
        <f>_xlfn.XLOOKUP(C949,'Allow&amp;Disa Exp by Truelayer cat'!$B:$B,'Allow&amp;Disa Exp by Truelayer cat'!$C:$C)</f>
        <v>Allowable</v>
      </c>
      <c r="E949" s="116">
        <f>_xlfn.XLOOKUP(C949,'Allow&amp;Disa Exp by Truelayer cat'!$B:$B,'Allow&amp;Disa Exp by Truelayer cat'!$D:$D)</f>
        <v>0</v>
      </c>
      <c r="F949" t="str">
        <f>_xlfn.XLOOKUP(C949,'Allow&amp;Disa Exp by Truelayer cat'!$B:$B,'Allow&amp;Disa Exp by Truelayer cat'!$E:$E)</f>
        <v>Deduct from expenses</v>
      </c>
    </row>
    <row r="950" spans="1:6" x14ac:dyDescent="0.25">
      <c r="A950" t="s">
        <v>1884</v>
      </c>
      <c r="B950" t="s">
        <v>1890</v>
      </c>
      <c r="C950" t="s">
        <v>469</v>
      </c>
      <c r="D950" t="str">
        <f>_xlfn.XLOOKUP(C950,'Allow&amp;Disa Exp by Truelayer cat'!$B:$B,'Allow&amp;Disa Exp by Truelayer cat'!$C:$C)</f>
        <v>Allowable</v>
      </c>
      <c r="E950" s="116">
        <f>_xlfn.XLOOKUP(C950,'Allow&amp;Disa Exp by Truelayer cat'!$B:$B,'Allow&amp;Disa Exp by Truelayer cat'!$D:$D)</f>
        <v>0</v>
      </c>
      <c r="F950" t="str">
        <f>_xlfn.XLOOKUP(C950,'Allow&amp;Disa Exp by Truelayer cat'!$B:$B,'Allow&amp;Disa Exp by Truelayer cat'!$E:$E)</f>
        <v>Deduct from expenses</v>
      </c>
    </row>
    <row r="951" spans="1:6" x14ac:dyDescent="0.25">
      <c r="A951" t="s">
        <v>1884</v>
      </c>
      <c r="B951" t="s">
        <v>1891</v>
      </c>
      <c r="C951" t="s">
        <v>469</v>
      </c>
      <c r="D951" t="str">
        <f>_xlfn.XLOOKUP(C951,'Allow&amp;Disa Exp by Truelayer cat'!$B:$B,'Allow&amp;Disa Exp by Truelayer cat'!$C:$C)</f>
        <v>Allowable</v>
      </c>
      <c r="E951" s="116">
        <f>_xlfn.XLOOKUP(C951,'Allow&amp;Disa Exp by Truelayer cat'!$B:$B,'Allow&amp;Disa Exp by Truelayer cat'!$D:$D)</f>
        <v>0</v>
      </c>
      <c r="F951" t="str">
        <f>_xlfn.XLOOKUP(C951,'Allow&amp;Disa Exp by Truelayer cat'!$B:$B,'Allow&amp;Disa Exp by Truelayer cat'!$E:$E)</f>
        <v>Deduct from expenses</v>
      </c>
    </row>
    <row r="952" spans="1:6" x14ac:dyDescent="0.25">
      <c r="A952" t="s">
        <v>1884</v>
      </c>
      <c r="B952" t="s">
        <v>1892</v>
      </c>
      <c r="C952" t="s">
        <v>469</v>
      </c>
      <c r="D952" t="str">
        <f>_xlfn.XLOOKUP(C952,'Allow&amp;Disa Exp by Truelayer cat'!$B:$B,'Allow&amp;Disa Exp by Truelayer cat'!$C:$C)</f>
        <v>Allowable</v>
      </c>
      <c r="E952" s="116">
        <f>_xlfn.XLOOKUP(C952,'Allow&amp;Disa Exp by Truelayer cat'!$B:$B,'Allow&amp;Disa Exp by Truelayer cat'!$D:$D)</f>
        <v>0</v>
      </c>
      <c r="F952" t="str">
        <f>_xlfn.XLOOKUP(C952,'Allow&amp;Disa Exp by Truelayer cat'!$B:$B,'Allow&amp;Disa Exp by Truelayer cat'!$E:$E)</f>
        <v>Deduct from expenses</v>
      </c>
    </row>
    <row r="953" spans="1:6" x14ac:dyDescent="0.25">
      <c r="A953" t="s">
        <v>1884</v>
      </c>
      <c r="B953" t="s">
        <v>1893</v>
      </c>
      <c r="C953" t="s">
        <v>469</v>
      </c>
      <c r="D953" t="str">
        <f>_xlfn.XLOOKUP(C953,'Allow&amp;Disa Exp by Truelayer cat'!$B:$B,'Allow&amp;Disa Exp by Truelayer cat'!$C:$C)</f>
        <v>Allowable</v>
      </c>
      <c r="E953" s="116">
        <f>_xlfn.XLOOKUP(C953,'Allow&amp;Disa Exp by Truelayer cat'!$B:$B,'Allow&amp;Disa Exp by Truelayer cat'!$D:$D)</f>
        <v>0</v>
      </c>
      <c r="F953" t="str">
        <f>_xlfn.XLOOKUP(C953,'Allow&amp;Disa Exp by Truelayer cat'!$B:$B,'Allow&amp;Disa Exp by Truelayer cat'!$E:$E)</f>
        <v>Deduct from expenses</v>
      </c>
    </row>
    <row r="954" spans="1:6" x14ac:dyDescent="0.25">
      <c r="A954" t="s">
        <v>1884</v>
      </c>
      <c r="B954" t="s">
        <v>1894</v>
      </c>
      <c r="C954" t="s">
        <v>469</v>
      </c>
      <c r="D954" t="str">
        <f>_xlfn.XLOOKUP(C954,'Allow&amp;Disa Exp by Truelayer cat'!$B:$B,'Allow&amp;Disa Exp by Truelayer cat'!$C:$C)</f>
        <v>Allowable</v>
      </c>
      <c r="E954" s="116">
        <f>_xlfn.XLOOKUP(C954,'Allow&amp;Disa Exp by Truelayer cat'!$B:$B,'Allow&amp;Disa Exp by Truelayer cat'!$D:$D)</f>
        <v>0</v>
      </c>
      <c r="F954" t="str">
        <f>_xlfn.XLOOKUP(C954,'Allow&amp;Disa Exp by Truelayer cat'!$B:$B,'Allow&amp;Disa Exp by Truelayer cat'!$E:$E)</f>
        <v>Deduct from expenses</v>
      </c>
    </row>
    <row r="955" spans="1:6" x14ac:dyDescent="0.25">
      <c r="A955" t="s">
        <v>1884</v>
      </c>
      <c r="B955" t="s">
        <v>1895</v>
      </c>
      <c r="C955" t="s">
        <v>469</v>
      </c>
      <c r="D955" t="str">
        <f>_xlfn.XLOOKUP(C955,'Allow&amp;Disa Exp by Truelayer cat'!$B:$B,'Allow&amp;Disa Exp by Truelayer cat'!$C:$C)</f>
        <v>Allowable</v>
      </c>
      <c r="E955" s="116">
        <f>_xlfn.XLOOKUP(C955,'Allow&amp;Disa Exp by Truelayer cat'!$B:$B,'Allow&amp;Disa Exp by Truelayer cat'!$D:$D)</f>
        <v>0</v>
      </c>
      <c r="F955" t="str">
        <f>_xlfn.XLOOKUP(C955,'Allow&amp;Disa Exp by Truelayer cat'!$B:$B,'Allow&amp;Disa Exp by Truelayer cat'!$E:$E)</f>
        <v>Deduct from expenses</v>
      </c>
    </row>
    <row r="956" spans="1:6" x14ac:dyDescent="0.25">
      <c r="A956" t="s">
        <v>1884</v>
      </c>
      <c r="B956" t="s">
        <v>1896</v>
      </c>
      <c r="C956" t="s">
        <v>469</v>
      </c>
      <c r="D956" t="str">
        <f>_xlfn.XLOOKUP(C956,'Allow&amp;Disa Exp by Truelayer cat'!$B:$B,'Allow&amp;Disa Exp by Truelayer cat'!$C:$C)</f>
        <v>Allowable</v>
      </c>
      <c r="E956" s="116">
        <f>_xlfn.XLOOKUP(C956,'Allow&amp;Disa Exp by Truelayer cat'!$B:$B,'Allow&amp;Disa Exp by Truelayer cat'!$D:$D)</f>
        <v>0</v>
      </c>
      <c r="F956" t="str">
        <f>_xlfn.XLOOKUP(C956,'Allow&amp;Disa Exp by Truelayer cat'!$B:$B,'Allow&amp;Disa Exp by Truelayer cat'!$E:$E)</f>
        <v>Deduct from expenses</v>
      </c>
    </row>
    <row r="957" spans="1:6" x14ac:dyDescent="0.25">
      <c r="A957" t="s">
        <v>1884</v>
      </c>
      <c r="B957" t="s">
        <v>1897</v>
      </c>
      <c r="C957" t="s">
        <v>469</v>
      </c>
      <c r="D957" t="str">
        <f>_xlfn.XLOOKUP(C957,'Allow&amp;Disa Exp by Truelayer cat'!$B:$B,'Allow&amp;Disa Exp by Truelayer cat'!$C:$C)</f>
        <v>Allowable</v>
      </c>
      <c r="E957" s="116">
        <f>_xlfn.XLOOKUP(C957,'Allow&amp;Disa Exp by Truelayer cat'!$B:$B,'Allow&amp;Disa Exp by Truelayer cat'!$D:$D)</f>
        <v>0</v>
      </c>
      <c r="F957" t="str">
        <f>_xlfn.XLOOKUP(C957,'Allow&amp;Disa Exp by Truelayer cat'!$B:$B,'Allow&amp;Disa Exp by Truelayer cat'!$E:$E)</f>
        <v>Deduct from expenses</v>
      </c>
    </row>
    <row r="958" spans="1:6" x14ac:dyDescent="0.25">
      <c r="A958" t="s">
        <v>1884</v>
      </c>
      <c r="B958" t="s">
        <v>1898</v>
      </c>
      <c r="C958" t="s">
        <v>469</v>
      </c>
      <c r="D958" t="str">
        <f>_xlfn.XLOOKUP(C958,'Allow&amp;Disa Exp by Truelayer cat'!$B:$B,'Allow&amp;Disa Exp by Truelayer cat'!$C:$C)</f>
        <v>Allowable</v>
      </c>
      <c r="E958" s="116">
        <f>_xlfn.XLOOKUP(C958,'Allow&amp;Disa Exp by Truelayer cat'!$B:$B,'Allow&amp;Disa Exp by Truelayer cat'!$D:$D)</f>
        <v>0</v>
      </c>
      <c r="F958" t="str">
        <f>_xlfn.XLOOKUP(C958,'Allow&amp;Disa Exp by Truelayer cat'!$B:$B,'Allow&amp;Disa Exp by Truelayer cat'!$E:$E)</f>
        <v>Deduct from expenses</v>
      </c>
    </row>
    <row r="959" spans="1:6" ht="45" x14ac:dyDescent="0.25">
      <c r="A959" t="s">
        <v>1884</v>
      </c>
      <c r="B959" t="s">
        <v>1899</v>
      </c>
      <c r="C959" t="s">
        <v>468</v>
      </c>
      <c r="D959" t="str">
        <f>_xlfn.XLOOKUP(C959,'Allow&amp;Disa Exp by Truelayer cat'!$B:$B,'Allow&amp;Disa Exp by Truelayer cat'!$C:$C)</f>
        <v>Review</v>
      </c>
      <c r="E959" s="116" t="str">
        <f>_xlfn.XLOOKUP(C959,'Allow&amp;Disa Exp by Truelayer cat'!$B:$B,'Allow&amp;Disa Exp by Truelayer cat'!$D:$D)</f>
        <v>"Was this paying to park your car…or paying for parking it badly?"</v>
      </c>
      <c r="F959" t="str">
        <f>_xlfn.XLOOKUP(C959,'Allow&amp;Disa Exp by Truelayer cat'!$B:$B,'Allow&amp;Disa Exp by Truelayer cat'!$E:$E)</f>
        <v>If parking fine DISALLOW. If not then deduct</v>
      </c>
    </row>
    <row r="960" spans="1:6" x14ac:dyDescent="0.25">
      <c r="A960" t="s">
        <v>1884</v>
      </c>
      <c r="B960" t="s">
        <v>1900</v>
      </c>
      <c r="C960" t="s">
        <v>469</v>
      </c>
      <c r="D960" t="str">
        <f>_xlfn.XLOOKUP(C960,'Allow&amp;Disa Exp by Truelayer cat'!$B:$B,'Allow&amp;Disa Exp by Truelayer cat'!$C:$C)</f>
        <v>Allowable</v>
      </c>
      <c r="E960" s="116">
        <f>_xlfn.XLOOKUP(C960,'Allow&amp;Disa Exp by Truelayer cat'!$B:$B,'Allow&amp;Disa Exp by Truelayer cat'!$D:$D)</f>
        <v>0</v>
      </c>
      <c r="F960" t="str">
        <f>_xlfn.XLOOKUP(C960,'Allow&amp;Disa Exp by Truelayer cat'!$B:$B,'Allow&amp;Disa Exp by Truelayer cat'!$E:$E)</f>
        <v>Deduct from expenses</v>
      </c>
    </row>
    <row r="961" spans="1:6" x14ac:dyDescent="0.25">
      <c r="A961" t="s">
        <v>1884</v>
      </c>
      <c r="B961" t="s">
        <v>1901</v>
      </c>
      <c r="C961" t="s">
        <v>469</v>
      </c>
      <c r="D961" t="str">
        <f>_xlfn.XLOOKUP(C961,'Allow&amp;Disa Exp by Truelayer cat'!$B:$B,'Allow&amp;Disa Exp by Truelayer cat'!$C:$C)</f>
        <v>Allowable</v>
      </c>
      <c r="E961" s="116">
        <f>_xlfn.XLOOKUP(C961,'Allow&amp;Disa Exp by Truelayer cat'!$B:$B,'Allow&amp;Disa Exp by Truelayer cat'!$D:$D)</f>
        <v>0</v>
      </c>
      <c r="F961" t="str">
        <f>_xlfn.XLOOKUP(C961,'Allow&amp;Disa Exp by Truelayer cat'!$B:$B,'Allow&amp;Disa Exp by Truelayer cat'!$E:$E)</f>
        <v>Deduct from expenses</v>
      </c>
    </row>
    <row r="962" spans="1:6" x14ac:dyDescent="0.25">
      <c r="A962" t="s">
        <v>1884</v>
      </c>
      <c r="B962" t="s">
        <v>1902</v>
      </c>
      <c r="C962" t="s">
        <v>469</v>
      </c>
      <c r="D962" t="str">
        <f>_xlfn.XLOOKUP(C962,'Allow&amp;Disa Exp by Truelayer cat'!$B:$B,'Allow&amp;Disa Exp by Truelayer cat'!$C:$C)</f>
        <v>Allowable</v>
      </c>
      <c r="E962" s="116">
        <f>_xlfn.XLOOKUP(C962,'Allow&amp;Disa Exp by Truelayer cat'!$B:$B,'Allow&amp;Disa Exp by Truelayer cat'!$D:$D)</f>
        <v>0</v>
      </c>
      <c r="F962" t="str">
        <f>_xlfn.XLOOKUP(C962,'Allow&amp;Disa Exp by Truelayer cat'!$B:$B,'Allow&amp;Disa Exp by Truelayer cat'!$E:$E)</f>
        <v>Deduct from expenses</v>
      </c>
    </row>
    <row r="963" spans="1:6" x14ac:dyDescent="0.25">
      <c r="A963" t="s">
        <v>1884</v>
      </c>
      <c r="B963" t="s">
        <v>1903</v>
      </c>
      <c r="C963" t="s">
        <v>469</v>
      </c>
      <c r="D963" t="str">
        <f>_xlfn.XLOOKUP(C963,'Allow&amp;Disa Exp by Truelayer cat'!$B:$B,'Allow&amp;Disa Exp by Truelayer cat'!$C:$C)</f>
        <v>Allowable</v>
      </c>
      <c r="E963" s="116">
        <f>_xlfn.XLOOKUP(C963,'Allow&amp;Disa Exp by Truelayer cat'!$B:$B,'Allow&amp;Disa Exp by Truelayer cat'!$D:$D)</f>
        <v>0</v>
      </c>
      <c r="F963" t="str">
        <f>_xlfn.XLOOKUP(C963,'Allow&amp;Disa Exp by Truelayer cat'!$B:$B,'Allow&amp;Disa Exp by Truelayer cat'!$E:$E)</f>
        <v>Deduct from expenses</v>
      </c>
    </row>
    <row r="964" spans="1:6" ht="45" x14ac:dyDescent="0.25">
      <c r="A964" t="s">
        <v>1884</v>
      </c>
      <c r="B964" t="s">
        <v>1904</v>
      </c>
      <c r="C964" t="s">
        <v>468</v>
      </c>
      <c r="D964" t="str">
        <f>_xlfn.XLOOKUP(C964,'Allow&amp;Disa Exp by Truelayer cat'!$B:$B,'Allow&amp;Disa Exp by Truelayer cat'!$C:$C)</f>
        <v>Review</v>
      </c>
      <c r="E964" s="116" t="str">
        <f>_xlfn.XLOOKUP(C964,'Allow&amp;Disa Exp by Truelayer cat'!$B:$B,'Allow&amp;Disa Exp by Truelayer cat'!$D:$D)</f>
        <v>"Was this paying to park your car…or paying for parking it badly?"</v>
      </c>
      <c r="F964" t="str">
        <f>_xlfn.XLOOKUP(C964,'Allow&amp;Disa Exp by Truelayer cat'!$B:$B,'Allow&amp;Disa Exp by Truelayer cat'!$E:$E)</f>
        <v>If parking fine DISALLOW. If not then deduct</v>
      </c>
    </row>
    <row r="965" spans="1:6" x14ac:dyDescent="0.25">
      <c r="A965" t="s">
        <v>1884</v>
      </c>
      <c r="B965" t="s">
        <v>1905</v>
      </c>
      <c r="C965" t="s">
        <v>469</v>
      </c>
      <c r="D965" t="str">
        <f>_xlfn.XLOOKUP(C965,'Allow&amp;Disa Exp by Truelayer cat'!$B:$B,'Allow&amp;Disa Exp by Truelayer cat'!$C:$C)</f>
        <v>Allowable</v>
      </c>
      <c r="E965" s="116">
        <f>_xlfn.XLOOKUP(C965,'Allow&amp;Disa Exp by Truelayer cat'!$B:$B,'Allow&amp;Disa Exp by Truelayer cat'!$D:$D)</f>
        <v>0</v>
      </c>
      <c r="F965" t="str">
        <f>_xlfn.XLOOKUP(C965,'Allow&amp;Disa Exp by Truelayer cat'!$B:$B,'Allow&amp;Disa Exp by Truelayer cat'!$E:$E)</f>
        <v>Deduct from expenses</v>
      </c>
    </row>
    <row r="966" spans="1:6" ht="45" x14ac:dyDescent="0.25">
      <c r="A966" t="s">
        <v>1884</v>
      </c>
      <c r="B966" t="s">
        <v>1906</v>
      </c>
      <c r="C966" t="s">
        <v>468</v>
      </c>
      <c r="D966" t="str">
        <f>_xlfn.XLOOKUP(C966,'Allow&amp;Disa Exp by Truelayer cat'!$B:$B,'Allow&amp;Disa Exp by Truelayer cat'!$C:$C)</f>
        <v>Review</v>
      </c>
      <c r="E966" s="116" t="str">
        <f>_xlfn.XLOOKUP(C966,'Allow&amp;Disa Exp by Truelayer cat'!$B:$B,'Allow&amp;Disa Exp by Truelayer cat'!$D:$D)</f>
        <v>"Was this paying to park your car…or paying for parking it badly?"</v>
      </c>
      <c r="F966" t="str">
        <f>_xlfn.XLOOKUP(C966,'Allow&amp;Disa Exp by Truelayer cat'!$B:$B,'Allow&amp;Disa Exp by Truelayer cat'!$E:$E)</f>
        <v>If parking fine DISALLOW. If not then deduct</v>
      </c>
    </row>
    <row r="967" spans="1:6" x14ac:dyDescent="0.25">
      <c r="A967" t="s">
        <v>1884</v>
      </c>
      <c r="B967" t="s">
        <v>1907</v>
      </c>
      <c r="C967" t="s">
        <v>469</v>
      </c>
      <c r="D967" t="str">
        <f>_xlfn.XLOOKUP(C967,'Allow&amp;Disa Exp by Truelayer cat'!$B:$B,'Allow&amp;Disa Exp by Truelayer cat'!$C:$C)</f>
        <v>Allowable</v>
      </c>
      <c r="E967" s="116">
        <f>_xlfn.XLOOKUP(C967,'Allow&amp;Disa Exp by Truelayer cat'!$B:$B,'Allow&amp;Disa Exp by Truelayer cat'!$D:$D)</f>
        <v>0</v>
      </c>
      <c r="F967" t="str">
        <f>_xlfn.XLOOKUP(C967,'Allow&amp;Disa Exp by Truelayer cat'!$B:$B,'Allow&amp;Disa Exp by Truelayer cat'!$E:$E)</f>
        <v>Deduct from expenses</v>
      </c>
    </row>
    <row r="968" spans="1:6" x14ac:dyDescent="0.25">
      <c r="A968" t="s">
        <v>1884</v>
      </c>
      <c r="B968" t="s">
        <v>1878</v>
      </c>
      <c r="C968" t="s">
        <v>469</v>
      </c>
      <c r="D968" t="str">
        <f>_xlfn.XLOOKUP(C968,'Allow&amp;Disa Exp by Truelayer cat'!$B:$B,'Allow&amp;Disa Exp by Truelayer cat'!$C:$C)</f>
        <v>Allowable</v>
      </c>
      <c r="E968" s="116">
        <f>_xlfn.XLOOKUP(C968,'Allow&amp;Disa Exp by Truelayer cat'!$B:$B,'Allow&amp;Disa Exp by Truelayer cat'!$D:$D)</f>
        <v>0</v>
      </c>
      <c r="F968" t="str">
        <f>_xlfn.XLOOKUP(C968,'Allow&amp;Disa Exp by Truelayer cat'!$B:$B,'Allow&amp;Disa Exp by Truelayer cat'!$E:$E)</f>
        <v>Deduct from expenses</v>
      </c>
    </row>
    <row r="969" spans="1:6" x14ac:dyDescent="0.25">
      <c r="A969" t="s">
        <v>1884</v>
      </c>
      <c r="B969" t="s">
        <v>1908</v>
      </c>
      <c r="C969" t="s">
        <v>469</v>
      </c>
      <c r="D969" t="str">
        <f>_xlfn.XLOOKUP(C969,'Allow&amp;Disa Exp by Truelayer cat'!$B:$B,'Allow&amp;Disa Exp by Truelayer cat'!$C:$C)</f>
        <v>Allowable</v>
      </c>
      <c r="E969" s="116">
        <f>_xlfn.XLOOKUP(C969,'Allow&amp;Disa Exp by Truelayer cat'!$B:$B,'Allow&amp;Disa Exp by Truelayer cat'!$D:$D)</f>
        <v>0</v>
      </c>
      <c r="F969" t="str">
        <f>_xlfn.XLOOKUP(C969,'Allow&amp;Disa Exp by Truelayer cat'!$B:$B,'Allow&amp;Disa Exp by Truelayer cat'!$E:$E)</f>
        <v>Deduct from expenses</v>
      </c>
    </row>
    <row r="970" spans="1:6" x14ac:dyDescent="0.25">
      <c r="A970" t="s">
        <v>1884</v>
      </c>
      <c r="B970" t="s">
        <v>1909</v>
      </c>
      <c r="C970" t="s">
        <v>469</v>
      </c>
      <c r="D970" t="str">
        <f>_xlfn.XLOOKUP(C970,'Allow&amp;Disa Exp by Truelayer cat'!$B:$B,'Allow&amp;Disa Exp by Truelayer cat'!$C:$C)</f>
        <v>Allowable</v>
      </c>
      <c r="E970" s="116">
        <f>_xlfn.XLOOKUP(C970,'Allow&amp;Disa Exp by Truelayer cat'!$B:$B,'Allow&amp;Disa Exp by Truelayer cat'!$D:$D)</f>
        <v>0</v>
      </c>
      <c r="F970" t="str">
        <f>_xlfn.XLOOKUP(C970,'Allow&amp;Disa Exp by Truelayer cat'!$B:$B,'Allow&amp;Disa Exp by Truelayer cat'!$E:$E)</f>
        <v>Deduct from expenses</v>
      </c>
    </row>
    <row r="971" spans="1:6" ht="45" x14ac:dyDescent="0.25">
      <c r="A971" t="s">
        <v>1884</v>
      </c>
      <c r="B971" t="s">
        <v>1910</v>
      </c>
      <c r="C971" t="s">
        <v>468</v>
      </c>
      <c r="D971" t="str">
        <f>_xlfn.XLOOKUP(C971,'Allow&amp;Disa Exp by Truelayer cat'!$B:$B,'Allow&amp;Disa Exp by Truelayer cat'!$C:$C)</f>
        <v>Review</v>
      </c>
      <c r="E971" s="116" t="str">
        <f>_xlfn.XLOOKUP(C971,'Allow&amp;Disa Exp by Truelayer cat'!$B:$B,'Allow&amp;Disa Exp by Truelayer cat'!$D:$D)</f>
        <v>"Was this paying to park your car…or paying for parking it badly?"</v>
      </c>
      <c r="F971" t="str">
        <f>_xlfn.XLOOKUP(C971,'Allow&amp;Disa Exp by Truelayer cat'!$B:$B,'Allow&amp;Disa Exp by Truelayer cat'!$E:$E)</f>
        <v>If parking fine DISALLOW. If not then deduct</v>
      </c>
    </row>
    <row r="972" spans="1:6" ht="45" x14ac:dyDescent="0.25">
      <c r="A972" t="s">
        <v>1884</v>
      </c>
      <c r="B972" t="s">
        <v>1911</v>
      </c>
      <c r="C972" t="s">
        <v>468</v>
      </c>
      <c r="D972" t="str">
        <f>_xlfn.XLOOKUP(C972,'Allow&amp;Disa Exp by Truelayer cat'!$B:$B,'Allow&amp;Disa Exp by Truelayer cat'!$C:$C)</f>
        <v>Review</v>
      </c>
      <c r="E972" s="116" t="str">
        <f>_xlfn.XLOOKUP(C972,'Allow&amp;Disa Exp by Truelayer cat'!$B:$B,'Allow&amp;Disa Exp by Truelayer cat'!$D:$D)</f>
        <v>"Was this paying to park your car…or paying for parking it badly?"</v>
      </c>
      <c r="F972" t="str">
        <f>_xlfn.XLOOKUP(C972,'Allow&amp;Disa Exp by Truelayer cat'!$B:$B,'Allow&amp;Disa Exp by Truelayer cat'!$E:$E)</f>
        <v>If parking fine DISALLOW. If not then deduct</v>
      </c>
    </row>
    <row r="973" spans="1:6" x14ac:dyDescent="0.25">
      <c r="A973" t="s">
        <v>1884</v>
      </c>
      <c r="B973" t="s">
        <v>1912</v>
      </c>
      <c r="C973" t="s">
        <v>469</v>
      </c>
      <c r="D973" t="str">
        <f>_xlfn.XLOOKUP(C973,'Allow&amp;Disa Exp by Truelayer cat'!$B:$B,'Allow&amp;Disa Exp by Truelayer cat'!$C:$C)</f>
        <v>Allowable</v>
      </c>
      <c r="E973" s="116">
        <f>_xlfn.XLOOKUP(C973,'Allow&amp;Disa Exp by Truelayer cat'!$B:$B,'Allow&amp;Disa Exp by Truelayer cat'!$D:$D)</f>
        <v>0</v>
      </c>
      <c r="F973" t="str">
        <f>_xlfn.XLOOKUP(C973,'Allow&amp;Disa Exp by Truelayer cat'!$B:$B,'Allow&amp;Disa Exp by Truelayer cat'!$E:$E)</f>
        <v>Deduct from expenses</v>
      </c>
    </row>
    <row r="974" spans="1:6" ht="45" x14ac:dyDescent="0.25">
      <c r="A974" t="s">
        <v>1884</v>
      </c>
      <c r="B974" t="s">
        <v>1913</v>
      </c>
      <c r="C974" t="s">
        <v>468</v>
      </c>
      <c r="D974" t="str">
        <f>_xlfn.XLOOKUP(C974,'Allow&amp;Disa Exp by Truelayer cat'!$B:$B,'Allow&amp;Disa Exp by Truelayer cat'!$C:$C)</f>
        <v>Review</v>
      </c>
      <c r="E974" s="116" t="str">
        <f>_xlfn.XLOOKUP(C974,'Allow&amp;Disa Exp by Truelayer cat'!$B:$B,'Allow&amp;Disa Exp by Truelayer cat'!$D:$D)</f>
        <v>"Was this paying to park your car…or paying for parking it badly?"</v>
      </c>
      <c r="F974" t="str">
        <f>_xlfn.XLOOKUP(C974,'Allow&amp;Disa Exp by Truelayer cat'!$B:$B,'Allow&amp;Disa Exp by Truelayer cat'!$E:$E)</f>
        <v>If parking fine DISALLOW. If not then deduct</v>
      </c>
    </row>
    <row r="975" spans="1:6" x14ac:dyDescent="0.25">
      <c r="A975" t="s">
        <v>1884</v>
      </c>
      <c r="B975" t="s">
        <v>1914</v>
      </c>
      <c r="C975" t="s">
        <v>469</v>
      </c>
      <c r="D975" t="str">
        <f>_xlfn.XLOOKUP(C975,'Allow&amp;Disa Exp by Truelayer cat'!$B:$B,'Allow&amp;Disa Exp by Truelayer cat'!$C:$C)</f>
        <v>Allowable</v>
      </c>
      <c r="E975" s="116">
        <f>_xlfn.XLOOKUP(C975,'Allow&amp;Disa Exp by Truelayer cat'!$B:$B,'Allow&amp;Disa Exp by Truelayer cat'!$D:$D)</f>
        <v>0</v>
      </c>
      <c r="F975" t="str">
        <f>_xlfn.XLOOKUP(C975,'Allow&amp;Disa Exp by Truelayer cat'!$B:$B,'Allow&amp;Disa Exp by Truelayer cat'!$E:$E)</f>
        <v>Deduct from expenses</v>
      </c>
    </row>
    <row r="976" spans="1:6" x14ac:dyDescent="0.25">
      <c r="A976" t="s">
        <v>1884</v>
      </c>
      <c r="B976" t="s">
        <v>1915</v>
      </c>
      <c r="C976" t="s">
        <v>469</v>
      </c>
      <c r="D976" t="str">
        <f>_xlfn.XLOOKUP(C976,'Allow&amp;Disa Exp by Truelayer cat'!$B:$B,'Allow&amp;Disa Exp by Truelayer cat'!$C:$C)</f>
        <v>Allowable</v>
      </c>
      <c r="E976" s="116">
        <f>_xlfn.XLOOKUP(C976,'Allow&amp;Disa Exp by Truelayer cat'!$B:$B,'Allow&amp;Disa Exp by Truelayer cat'!$D:$D)</f>
        <v>0</v>
      </c>
      <c r="F976" t="str">
        <f>_xlfn.XLOOKUP(C976,'Allow&amp;Disa Exp by Truelayer cat'!$B:$B,'Allow&amp;Disa Exp by Truelayer cat'!$E:$E)</f>
        <v>Deduct from expenses</v>
      </c>
    </row>
    <row r="977" spans="1:6" x14ac:dyDescent="0.25">
      <c r="A977" t="s">
        <v>1884</v>
      </c>
      <c r="B977" t="s">
        <v>1916</v>
      </c>
      <c r="C977" t="s">
        <v>469</v>
      </c>
      <c r="D977" t="str">
        <f>_xlfn.XLOOKUP(C977,'Allow&amp;Disa Exp by Truelayer cat'!$B:$B,'Allow&amp;Disa Exp by Truelayer cat'!$C:$C)</f>
        <v>Allowable</v>
      </c>
      <c r="E977" s="116">
        <f>_xlfn.XLOOKUP(C977,'Allow&amp;Disa Exp by Truelayer cat'!$B:$B,'Allow&amp;Disa Exp by Truelayer cat'!$D:$D)</f>
        <v>0</v>
      </c>
      <c r="F977" t="str">
        <f>_xlfn.XLOOKUP(C977,'Allow&amp;Disa Exp by Truelayer cat'!$B:$B,'Allow&amp;Disa Exp by Truelayer cat'!$E:$E)</f>
        <v>Deduct from expenses</v>
      </c>
    </row>
    <row r="978" spans="1:6" x14ac:dyDescent="0.25">
      <c r="A978" t="s">
        <v>1884</v>
      </c>
      <c r="B978" t="s">
        <v>1917</v>
      </c>
      <c r="C978" t="s">
        <v>469</v>
      </c>
      <c r="D978" t="str">
        <f>_xlfn.XLOOKUP(C978,'Allow&amp;Disa Exp by Truelayer cat'!$B:$B,'Allow&amp;Disa Exp by Truelayer cat'!$C:$C)</f>
        <v>Allowable</v>
      </c>
      <c r="E978" s="116">
        <f>_xlfn.XLOOKUP(C978,'Allow&amp;Disa Exp by Truelayer cat'!$B:$B,'Allow&amp;Disa Exp by Truelayer cat'!$D:$D)</f>
        <v>0</v>
      </c>
      <c r="F978" t="str">
        <f>_xlfn.XLOOKUP(C978,'Allow&amp;Disa Exp by Truelayer cat'!$B:$B,'Allow&amp;Disa Exp by Truelayer cat'!$E:$E)</f>
        <v>Deduct from expenses</v>
      </c>
    </row>
    <row r="979" spans="1:6" x14ac:dyDescent="0.25">
      <c r="A979" t="s">
        <v>1884</v>
      </c>
      <c r="B979" t="s">
        <v>1918</v>
      </c>
      <c r="C979" t="s">
        <v>469</v>
      </c>
      <c r="D979" t="str">
        <f>_xlfn.XLOOKUP(C979,'Allow&amp;Disa Exp by Truelayer cat'!$B:$B,'Allow&amp;Disa Exp by Truelayer cat'!$C:$C)</f>
        <v>Allowable</v>
      </c>
      <c r="E979" s="116">
        <f>_xlfn.XLOOKUP(C979,'Allow&amp;Disa Exp by Truelayer cat'!$B:$B,'Allow&amp;Disa Exp by Truelayer cat'!$D:$D)</f>
        <v>0</v>
      </c>
      <c r="F979" t="str">
        <f>_xlfn.XLOOKUP(C979,'Allow&amp;Disa Exp by Truelayer cat'!$B:$B,'Allow&amp;Disa Exp by Truelayer cat'!$E:$E)</f>
        <v>Deduct from expenses</v>
      </c>
    </row>
    <row r="980" spans="1:6" x14ac:dyDescent="0.25">
      <c r="A980" t="s">
        <v>1884</v>
      </c>
      <c r="B980" t="s">
        <v>1919</v>
      </c>
      <c r="C980" t="s">
        <v>469</v>
      </c>
      <c r="D980" t="str">
        <f>_xlfn.XLOOKUP(C980,'Allow&amp;Disa Exp by Truelayer cat'!$B:$B,'Allow&amp;Disa Exp by Truelayer cat'!$C:$C)</f>
        <v>Allowable</v>
      </c>
      <c r="E980" s="116">
        <f>_xlfn.XLOOKUP(C980,'Allow&amp;Disa Exp by Truelayer cat'!$B:$B,'Allow&amp;Disa Exp by Truelayer cat'!$D:$D)</f>
        <v>0</v>
      </c>
      <c r="F980" t="str">
        <f>_xlfn.XLOOKUP(C980,'Allow&amp;Disa Exp by Truelayer cat'!$B:$B,'Allow&amp;Disa Exp by Truelayer cat'!$E:$E)</f>
        <v>Deduct from expenses</v>
      </c>
    </row>
    <row r="981" spans="1:6" x14ac:dyDescent="0.25">
      <c r="A981" t="s">
        <v>1884</v>
      </c>
      <c r="B981" t="s">
        <v>1920</v>
      </c>
      <c r="C981" t="s">
        <v>469</v>
      </c>
      <c r="D981" t="str">
        <f>_xlfn.XLOOKUP(C981,'Allow&amp;Disa Exp by Truelayer cat'!$B:$B,'Allow&amp;Disa Exp by Truelayer cat'!$C:$C)</f>
        <v>Allowable</v>
      </c>
      <c r="E981" s="116">
        <f>_xlfn.XLOOKUP(C981,'Allow&amp;Disa Exp by Truelayer cat'!$B:$B,'Allow&amp;Disa Exp by Truelayer cat'!$D:$D)</f>
        <v>0</v>
      </c>
      <c r="F981" t="str">
        <f>_xlfn.XLOOKUP(C981,'Allow&amp;Disa Exp by Truelayer cat'!$B:$B,'Allow&amp;Disa Exp by Truelayer cat'!$E:$E)</f>
        <v>Deduct from expenses</v>
      </c>
    </row>
    <row r="982" spans="1:6" x14ac:dyDescent="0.25">
      <c r="A982" t="s">
        <v>1884</v>
      </c>
      <c r="B982" t="s">
        <v>1921</v>
      </c>
      <c r="C982" t="s">
        <v>469</v>
      </c>
      <c r="D982" t="str">
        <f>_xlfn.XLOOKUP(C982,'Allow&amp;Disa Exp by Truelayer cat'!$B:$B,'Allow&amp;Disa Exp by Truelayer cat'!$C:$C)</f>
        <v>Allowable</v>
      </c>
      <c r="E982" s="116">
        <f>_xlfn.XLOOKUP(C982,'Allow&amp;Disa Exp by Truelayer cat'!$B:$B,'Allow&amp;Disa Exp by Truelayer cat'!$D:$D)</f>
        <v>0</v>
      </c>
      <c r="F982" t="str">
        <f>_xlfn.XLOOKUP(C982,'Allow&amp;Disa Exp by Truelayer cat'!$B:$B,'Allow&amp;Disa Exp by Truelayer cat'!$E:$E)</f>
        <v>Deduct from expenses</v>
      </c>
    </row>
    <row r="983" spans="1:6" x14ac:dyDescent="0.25">
      <c r="A983" t="s">
        <v>1884</v>
      </c>
      <c r="B983" t="s">
        <v>1922</v>
      </c>
      <c r="C983" t="s">
        <v>469</v>
      </c>
      <c r="D983" t="str">
        <f>_xlfn.XLOOKUP(C983,'Allow&amp;Disa Exp by Truelayer cat'!$B:$B,'Allow&amp;Disa Exp by Truelayer cat'!$C:$C)</f>
        <v>Allowable</v>
      </c>
      <c r="E983" s="116">
        <f>_xlfn.XLOOKUP(C983,'Allow&amp;Disa Exp by Truelayer cat'!$B:$B,'Allow&amp;Disa Exp by Truelayer cat'!$D:$D)</f>
        <v>0</v>
      </c>
      <c r="F983" t="str">
        <f>_xlfn.XLOOKUP(C983,'Allow&amp;Disa Exp by Truelayer cat'!$B:$B,'Allow&amp;Disa Exp by Truelayer cat'!$E:$E)</f>
        <v>Deduct from expenses</v>
      </c>
    </row>
    <row r="984" spans="1:6" x14ac:dyDescent="0.25">
      <c r="A984" t="s">
        <v>1884</v>
      </c>
      <c r="B984" t="s">
        <v>1923</v>
      </c>
      <c r="C984" t="s">
        <v>469</v>
      </c>
      <c r="D984" t="str">
        <f>_xlfn.XLOOKUP(C984,'Allow&amp;Disa Exp by Truelayer cat'!$B:$B,'Allow&amp;Disa Exp by Truelayer cat'!$C:$C)</f>
        <v>Allowable</v>
      </c>
      <c r="E984" s="116">
        <f>_xlfn.XLOOKUP(C984,'Allow&amp;Disa Exp by Truelayer cat'!$B:$B,'Allow&amp;Disa Exp by Truelayer cat'!$D:$D)</f>
        <v>0</v>
      </c>
      <c r="F984" t="str">
        <f>_xlfn.XLOOKUP(C984,'Allow&amp;Disa Exp by Truelayer cat'!$B:$B,'Allow&amp;Disa Exp by Truelayer cat'!$E:$E)</f>
        <v>Deduct from expenses</v>
      </c>
    </row>
    <row r="985" spans="1:6" x14ac:dyDescent="0.25">
      <c r="A985" s="192" t="s">
        <v>2384</v>
      </c>
      <c r="B985" s="192" t="s">
        <v>2385</v>
      </c>
      <c r="C985" s="192" t="s">
        <v>2386</v>
      </c>
      <c r="D985" t="str">
        <f>_xlfn.XLOOKUP(C985,'Allow&amp;Disa Exp by Truelayer cat'!$B:$B,'Allow&amp;Disa Exp by Truelayer cat'!$C:$C)</f>
        <v>Allowable</v>
      </c>
      <c r="E985" s="116">
        <f>_xlfn.XLOOKUP(C985,'Allow&amp;Disa Exp by Truelayer cat'!$B:$B,'Allow&amp;Disa Exp by Truelayer cat'!$D:$D)</f>
        <v>0</v>
      </c>
      <c r="F985" t="str">
        <f>_xlfn.XLOOKUP(C985,'Allow&amp;Disa Exp by Truelayer cat'!$B:$B,'Allow&amp;Disa Exp by Truelayer cat'!$E:$E)</f>
        <v>Deduct from expenses (Check for expense being over £1k) - If over £1K, likely to be Salary PAID ,which is allowable, - ALSO CHECK IF SALARY IS BEING SENT TO PARTNER (IF RECIPIENT NAME MATCHES partner name in any way, take this as drawings and change the share allocation {Check drawings calculations tab})</v>
      </c>
    </row>
    <row r="986" spans="1:6" x14ac:dyDescent="0.25">
      <c r="A986" s="192" t="s">
        <v>2384</v>
      </c>
      <c r="B986" s="192" t="s">
        <v>2387</v>
      </c>
      <c r="C986" s="192" t="s">
        <v>2386</v>
      </c>
      <c r="D986" t="str">
        <f>_xlfn.XLOOKUP(C986,'Allow&amp;Disa Exp by Truelayer cat'!$B:$B,'Allow&amp;Disa Exp by Truelayer cat'!$C:$C)</f>
        <v>Allowable</v>
      </c>
      <c r="E986" s="116">
        <f>_xlfn.XLOOKUP(C986,'Allow&amp;Disa Exp by Truelayer cat'!$B:$B,'Allow&amp;Disa Exp by Truelayer cat'!$D:$D)</f>
        <v>0</v>
      </c>
      <c r="F986" t="str">
        <f>_xlfn.XLOOKUP(C986,'Allow&amp;Disa Exp by Truelayer cat'!$B:$B,'Allow&amp;Disa Exp by Truelayer cat'!$E:$E)</f>
        <v>Deduct from expenses (Check for expense being over £1k) - If over £1K, likely to be Salary PAID ,which is allowable, - ALSO CHECK IF SALARY IS BEING SENT TO PARTNER (IF RECIPIENT NAME MATCHES partner name in any way, take this as drawings and change the share allocation {Check drawings calculations tab})</v>
      </c>
    </row>
    <row r="987" spans="1:6" x14ac:dyDescent="0.25">
      <c r="A987" s="192" t="s">
        <v>2384</v>
      </c>
      <c r="B987" s="192" t="s">
        <v>2388</v>
      </c>
      <c r="C987" s="192" t="s">
        <v>2386</v>
      </c>
      <c r="D987" t="str">
        <f>_xlfn.XLOOKUP(C987,'Allow&amp;Disa Exp by Truelayer cat'!$B:$B,'Allow&amp;Disa Exp by Truelayer cat'!$C:$C)</f>
        <v>Allowable</v>
      </c>
      <c r="E987" s="116">
        <f>_xlfn.XLOOKUP(C987,'Allow&amp;Disa Exp by Truelayer cat'!$B:$B,'Allow&amp;Disa Exp by Truelayer cat'!$D:$D)</f>
        <v>0</v>
      </c>
      <c r="F987" t="str">
        <f>_xlfn.XLOOKUP(C987,'Allow&amp;Disa Exp by Truelayer cat'!$B:$B,'Allow&amp;Disa Exp by Truelayer cat'!$E:$E)</f>
        <v>Deduct from expenses (Check for expense being over £1k) - If over £1K, likely to be Salary PAID ,which is allowable, - ALSO CHECK IF SALARY IS BEING SENT TO PARTNER (IF RECIPIENT NAME MATCHES partner name in any way, take this as drawings and change the share allocation {Check drawings calculations tab})</v>
      </c>
    </row>
    <row r="988" spans="1:6" x14ac:dyDescent="0.25">
      <c r="A988" s="192" t="s">
        <v>2384</v>
      </c>
      <c r="B988" s="192" t="s">
        <v>2389</v>
      </c>
      <c r="C988" s="192" t="s">
        <v>2386</v>
      </c>
      <c r="D988" t="str">
        <f>_xlfn.XLOOKUP(C988,'Allow&amp;Disa Exp by Truelayer cat'!$B:$B,'Allow&amp;Disa Exp by Truelayer cat'!$C:$C)</f>
        <v>Allowable</v>
      </c>
      <c r="E988" s="116">
        <f>_xlfn.XLOOKUP(C988,'Allow&amp;Disa Exp by Truelayer cat'!$B:$B,'Allow&amp;Disa Exp by Truelayer cat'!$D:$D)</f>
        <v>0</v>
      </c>
      <c r="F988" t="str">
        <f>_xlfn.XLOOKUP(C988,'Allow&amp;Disa Exp by Truelayer cat'!$B:$B,'Allow&amp;Disa Exp by Truelayer cat'!$E:$E)</f>
        <v>Deduct from expenses (Check for expense being over £1k) - If over £1K, likely to be Salary PAID ,which is allowable, - ALSO CHECK IF SALARY IS BEING SENT TO PARTNER (IF RECIPIENT NAME MATCHES partner name in any way, take this as drawings and change the share allocation {Check drawings calculations tab})</v>
      </c>
    </row>
    <row r="989" spans="1:6" x14ac:dyDescent="0.25">
      <c r="A989" s="192" t="s">
        <v>2384</v>
      </c>
      <c r="B989" s="192" t="s">
        <v>2390</v>
      </c>
      <c r="C989" s="192" t="s">
        <v>2386</v>
      </c>
      <c r="D989" t="str">
        <f>_xlfn.XLOOKUP(C989,'Allow&amp;Disa Exp by Truelayer cat'!$B:$B,'Allow&amp;Disa Exp by Truelayer cat'!$C:$C)</f>
        <v>Allowable</v>
      </c>
      <c r="E989" s="116">
        <f>_xlfn.XLOOKUP(C989,'Allow&amp;Disa Exp by Truelayer cat'!$B:$B,'Allow&amp;Disa Exp by Truelayer cat'!$D:$D)</f>
        <v>0</v>
      </c>
      <c r="F989" t="str">
        <f>_xlfn.XLOOKUP(C989,'Allow&amp;Disa Exp by Truelayer cat'!$B:$B,'Allow&amp;Disa Exp by Truelayer cat'!$E:$E)</f>
        <v>Deduct from expenses (Check for expense being over £1k) - If over £1K, likely to be Salary PAID ,which is allowable, - ALSO CHECK IF SALARY IS BEING SENT TO PARTNER (IF RECIPIENT NAME MATCHES partner name in any way, take this as drawings and change the share allocation {Check drawings calculations tab})</v>
      </c>
    </row>
    <row r="990" spans="1:6" x14ac:dyDescent="0.25">
      <c r="A990" s="192" t="s">
        <v>2384</v>
      </c>
      <c r="B990" s="192" t="s">
        <v>2391</v>
      </c>
      <c r="C990" s="192" t="s">
        <v>2386</v>
      </c>
      <c r="D990" t="str">
        <f>_xlfn.XLOOKUP(C990,'Allow&amp;Disa Exp by Truelayer cat'!$B:$B,'Allow&amp;Disa Exp by Truelayer cat'!$C:$C)</f>
        <v>Allowable</v>
      </c>
      <c r="E990" s="116">
        <f>_xlfn.XLOOKUP(C990,'Allow&amp;Disa Exp by Truelayer cat'!$B:$B,'Allow&amp;Disa Exp by Truelayer cat'!$D:$D)</f>
        <v>0</v>
      </c>
      <c r="F990" t="str">
        <f>_xlfn.XLOOKUP(C990,'Allow&amp;Disa Exp by Truelayer cat'!$B:$B,'Allow&amp;Disa Exp by Truelayer cat'!$E:$E)</f>
        <v>Deduct from expenses (Check for expense being over £1k) - If over £1K, likely to be Salary PAID ,which is allowable, - ALSO CHECK IF SALARY IS BEING SENT TO PARTNER (IF RECIPIENT NAME MATCHES partner name in any way, take this as drawings and change the share allocation {Check drawings calculations tab})</v>
      </c>
    </row>
    <row r="991" spans="1:6" x14ac:dyDescent="0.25">
      <c r="A991" s="192" t="s">
        <v>2384</v>
      </c>
      <c r="B991" s="192" t="s">
        <v>2392</v>
      </c>
      <c r="C991" s="192" t="s">
        <v>2386</v>
      </c>
      <c r="D991" t="str">
        <f>_xlfn.XLOOKUP(C991,'Allow&amp;Disa Exp by Truelayer cat'!$B:$B,'Allow&amp;Disa Exp by Truelayer cat'!$C:$C)</f>
        <v>Allowable</v>
      </c>
      <c r="E991" s="116">
        <f>_xlfn.XLOOKUP(C991,'Allow&amp;Disa Exp by Truelayer cat'!$B:$B,'Allow&amp;Disa Exp by Truelayer cat'!$D:$D)</f>
        <v>0</v>
      </c>
      <c r="F991" t="str">
        <f>_xlfn.XLOOKUP(C991,'Allow&amp;Disa Exp by Truelayer cat'!$B:$B,'Allow&amp;Disa Exp by Truelayer cat'!$E:$E)</f>
        <v>Deduct from expenses (Check for expense being over £1k) - If over £1K, likely to be Salary PAID ,which is allowable, - ALSO CHECK IF SALARY IS BEING SENT TO PARTNER (IF RECIPIENT NAME MATCHES partner name in any way, take this as drawings and change the share allocation {Check drawings calculations tab})</v>
      </c>
    </row>
    <row r="992" spans="1:6" x14ac:dyDescent="0.25">
      <c r="A992" s="192" t="s">
        <v>2393</v>
      </c>
      <c r="B992" s="192" t="s">
        <v>2394</v>
      </c>
      <c r="C992" s="192" t="s">
        <v>2395</v>
      </c>
      <c r="D992" t="str">
        <f>_xlfn.XLOOKUP(C992,'Allow&amp;Disa Exp by Truelayer cat'!$B:$B,'Allow&amp;Disa Exp by Truelayer cat'!$C:$C)</f>
        <v>Allowable</v>
      </c>
      <c r="E992" s="116">
        <f>_xlfn.XLOOKUP(C992,'Allow&amp;Disa Exp by Truelayer cat'!$B:$B,'Allow&amp;Disa Exp by Truelayer cat'!$D:$D)</f>
        <v>0</v>
      </c>
      <c r="F992" t="str">
        <f>_xlfn.XLOOKUP(C992,'Allow&amp;Disa Exp by Truelayer cat'!$B:$B,'Allow&amp;Disa Exp by Truelayer cat'!$E:$E)</f>
        <v>Deduct from expenses</v>
      </c>
    </row>
    <row r="993" spans="1:6" x14ac:dyDescent="0.25">
      <c r="A993" s="192" t="s">
        <v>2393</v>
      </c>
      <c r="B993" s="192" t="s">
        <v>2396</v>
      </c>
      <c r="C993" s="192" t="s">
        <v>2395</v>
      </c>
      <c r="D993" t="str">
        <f>_xlfn.XLOOKUP(C993,'Allow&amp;Disa Exp by Truelayer cat'!$B:$B,'Allow&amp;Disa Exp by Truelayer cat'!$C:$C)</f>
        <v>Allowable</v>
      </c>
      <c r="E993" s="116">
        <f>_xlfn.XLOOKUP(C993,'Allow&amp;Disa Exp by Truelayer cat'!$B:$B,'Allow&amp;Disa Exp by Truelayer cat'!$D:$D)</f>
        <v>0</v>
      </c>
      <c r="F993" t="str">
        <f>_xlfn.XLOOKUP(C993,'Allow&amp;Disa Exp by Truelayer cat'!$B:$B,'Allow&amp;Disa Exp by Truelayer cat'!$E:$E)</f>
        <v>Deduct from expenses</v>
      </c>
    </row>
    <row r="994" spans="1:6" x14ac:dyDescent="0.25">
      <c r="A994" s="192" t="s">
        <v>2393</v>
      </c>
      <c r="B994" s="192" t="s">
        <v>2397</v>
      </c>
      <c r="C994" s="192" t="s">
        <v>2395</v>
      </c>
      <c r="D994" t="str">
        <f>_xlfn.XLOOKUP(C994,'Allow&amp;Disa Exp by Truelayer cat'!$B:$B,'Allow&amp;Disa Exp by Truelayer cat'!$C:$C)</f>
        <v>Allowable</v>
      </c>
      <c r="E994" s="116">
        <f>_xlfn.XLOOKUP(C994,'Allow&amp;Disa Exp by Truelayer cat'!$B:$B,'Allow&amp;Disa Exp by Truelayer cat'!$D:$D)</f>
        <v>0</v>
      </c>
      <c r="F994" t="str">
        <f>_xlfn.XLOOKUP(C994,'Allow&amp;Disa Exp by Truelayer cat'!$B:$B,'Allow&amp;Disa Exp by Truelayer cat'!$E:$E)</f>
        <v>Deduct from expenses</v>
      </c>
    </row>
    <row r="995" spans="1:6" x14ac:dyDescent="0.25">
      <c r="A995" s="192" t="s">
        <v>2393</v>
      </c>
      <c r="B995" s="192" t="s">
        <v>2398</v>
      </c>
      <c r="C995" s="192" t="s">
        <v>2395</v>
      </c>
      <c r="D995" t="str">
        <f>_xlfn.XLOOKUP(C995,'Allow&amp;Disa Exp by Truelayer cat'!$B:$B,'Allow&amp;Disa Exp by Truelayer cat'!$C:$C)</f>
        <v>Allowable</v>
      </c>
      <c r="E995" s="116">
        <f>_xlfn.XLOOKUP(C995,'Allow&amp;Disa Exp by Truelayer cat'!$B:$B,'Allow&amp;Disa Exp by Truelayer cat'!$D:$D)</f>
        <v>0</v>
      </c>
      <c r="F995" t="str">
        <f>_xlfn.XLOOKUP(C995,'Allow&amp;Disa Exp by Truelayer cat'!$B:$B,'Allow&amp;Disa Exp by Truelayer cat'!$E:$E)</f>
        <v>Deduct from expenses</v>
      </c>
    </row>
    <row r="996" spans="1:6" x14ac:dyDescent="0.25">
      <c r="A996" s="192" t="s">
        <v>2393</v>
      </c>
      <c r="B996" s="192" t="s">
        <v>2399</v>
      </c>
      <c r="C996" s="192" t="s">
        <v>2395</v>
      </c>
      <c r="D996" t="str">
        <f>_xlfn.XLOOKUP(C996,'Allow&amp;Disa Exp by Truelayer cat'!$B:$B,'Allow&amp;Disa Exp by Truelayer cat'!$C:$C)</f>
        <v>Allowable</v>
      </c>
      <c r="E996" s="116">
        <f>_xlfn.XLOOKUP(C996,'Allow&amp;Disa Exp by Truelayer cat'!$B:$B,'Allow&amp;Disa Exp by Truelayer cat'!$D:$D)</f>
        <v>0</v>
      </c>
      <c r="F996" t="str">
        <f>_xlfn.XLOOKUP(C996,'Allow&amp;Disa Exp by Truelayer cat'!$B:$B,'Allow&amp;Disa Exp by Truelayer cat'!$E:$E)</f>
        <v>Deduct from expenses</v>
      </c>
    </row>
    <row r="997" spans="1:6" x14ac:dyDescent="0.25">
      <c r="A997" s="192" t="s">
        <v>2393</v>
      </c>
      <c r="B997" s="192" t="s">
        <v>2400</v>
      </c>
      <c r="C997" s="192" t="s">
        <v>2395</v>
      </c>
      <c r="D997" t="str">
        <f>_xlfn.XLOOKUP(C997,'Allow&amp;Disa Exp by Truelayer cat'!$B:$B,'Allow&amp;Disa Exp by Truelayer cat'!$C:$C)</f>
        <v>Allowable</v>
      </c>
      <c r="E997" s="116">
        <f>_xlfn.XLOOKUP(C997,'Allow&amp;Disa Exp by Truelayer cat'!$B:$B,'Allow&amp;Disa Exp by Truelayer cat'!$D:$D)</f>
        <v>0</v>
      </c>
      <c r="F997" t="str">
        <f>_xlfn.XLOOKUP(C997,'Allow&amp;Disa Exp by Truelayer cat'!$B:$B,'Allow&amp;Disa Exp by Truelayer cat'!$E:$E)</f>
        <v>Deduct from expenses</v>
      </c>
    </row>
    <row r="998" spans="1:6" x14ac:dyDescent="0.25">
      <c r="A998" s="192" t="s">
        <v>2393</v>
      </c>
      <c r="B998" s="192" t="s">
        <v>2401</v>
      </c>
      <c r="C998" s="192" t="s">
        <v>2395</v>
      </c>
      <c r="D998" t="str">
        <f>_xlfn.XLOOKUP(C998,'Allow&amp;Disa Exp by Truelayer cat'!$B:$B,'Allow&amp;Disa Exp by Truelayer cat'!$C:$C)</f>
        <v>Allowable</v>
      </c>
      <c r="E998" s="116">
        <f>_xlfn.XLOOKUP(C998,'Allow&amp;Disa Exp by Truelayer cat'!$B:$B,'Allow&amp;Disa Exp by Truelayer cat'!$D:$D)</f>
        <v>0</v>
      </c>
      <c r="F998" t="str">
        <f>_xlfn.XLOOKUP(C998,'Allow&amp;Disa Exp by Truelayer cat'!$B:$B,'Allow&amp;Disa Exp by Truelayer cat'!$E:$E)</f>
        <v>Deduct from expenses</v>
      </c>
    </row>
    <row r="999" spans="1:6" x14ac:dyDescent="0.25">
      <c r="A999" s="192" t="s">
        <v>2402</v>
      </c>
      <c r="B999" s="192" t="s">
        <v>2403</v>
      </c>
      <c r="C999" s="192" t="s">
        <v>667</v>
      </c>
      <c r="D999" t="str">
        <f>_xlfn.XLOOKUP(C999,'Allow&amp;Disa Exp by Truelayer cat'!$B:$B,'Allow&amp;Disa Exp by Truelayer cat'!$C:$C)</f>
        <v>Allowable</v>
      </c>
      <c r="E999" s="116">
        <f>_xlfn.XLOOKUP(C999,'Allow&amp;Disa Exp by Truelayer cat'!$B:$B,'Allow&amp;Disa Exp by Truelayer cat'!$D:$D)</f>
        <v>0</v>
      </c>
      <c r="F999" t="str">
        <f>_xlfn.XLOOKUP(C999,'Allow&amp;Disa Exp by Truelayer cat'!$B:$B,'Allow&amp;Disa Exp by Truelayer cat'!$E:$E)</f>
        <v>Deduct from expenses</v>
      </c>
    </row>
    <row r="1000" spans="1:6" x14ac:dyDescent="0.25">
      <c r="A1000" s="192" t="s">
        <v>2402</v>
      </c>
      <c r="B1000" s="192" t="s">
        <v>2404</v>
      </c>
      <c r="C1000" s="192" t="s">
        <v>667</v>
      </c>
      <c r="D1000" t="str">
        <f>_xlfn.XLOOKUP(C1000,'Allow&amp;Disa Exp by Truelayer cat'!$B:$B,'Allow&amp;Disa Exp by Truelayer cat'!$C:$C)</f>
        <v>Allowable</v>
      </c>
      <c r="E1000" s="116">
        <f>_xlfn.XLOOKUP(C1000,'Allow&amp;Disa Exp by Truelayer cat'!$B:$B,'Allow&amp;Disa Exp by Truelayer cat'!$D:$D)</f>
        <v>0</v>
      </c>
      <c r="F1000" t="str">
        <f>_xlfn.XLOOKUP(C1000,'Allow&amp;Disa Exp by Truelayer cat'!$B:$B,'Allow&amp;Disa Exp by Truelayer cat'!$E:$E)</f>
        <v>Deduct from expenses</v>
      </c>
    </row>
    <row r="1001" spans="1:6" x14ac:dyDescent="0.25">
      <c r="A1001" s="192" t="s">
        <v>2402</v>
      </c>
      <c r="B1001" s="192" t="s">
        <v>2405</v>
      </c>
      <c r="C1001" s="192" t="s">
        <v>667</v>
      </c>
      <c r="D1001" t="str">
        <f>_xlfn.XLOOKUP(C1001,'Allow&amp;Disa Exp by Truelayer cat'!$B:$B,'Allow&amp;Disa Exp by Truelayer cat'!$C:$C)</f>
        <v>Allowable</v>
      </c>
      <c r="E1001" s="116">
        <f>_xlfn.XLOOKUP(C1001,'Allow&amp;Disa Exp by Truelayer cat'!$B:$B,'Allow&amp;Disa Exp by Truelayer cat'!$D:$D)</f>
        <v>0</v>
      </c>
      <c r="F1001" t="str">
        <f>_xlfn.XLOOKUP(C1001,'Allow&amp;Disa Exp by Truelayer cat'!$B:$B,'Allow&amp;Disa Exp by Truelayer cat'!$E:$E)</f>
        <v>Deduct from expenses</v>
      </c>
    </row>
    <row r="1002" spans="1:6" x14ac:dyDescent="0.25">
      <c r="A1002" s="192" t="s">
        <v>2402</v>
      </c>
      <c r="B1002" s="192" t="s">
        <v>2406</v>
      </c>
      <c r="C1002" s="192" t="s">
        <v>667</v>
      </c>
      <c r="D1002" t="str">
        <f>_xlfn.XLOOKUP(C1002,'Allow&amp;Disa Exp by Truelayer cat'!$B:$B,'Allow&amp;Disa Exp by Truelayer cat'!$C:$C)</f>
        <v>Allowable</v>
      </c>
      <c r="E1002" s="116">
        <f>_xlfn.XLOOKUP(C1002,'Allow&amp;Disa Exp by Truelayer cat'!$B:$B,'Allow&amp;Disa Exp by Truelayer cat'!$D:$D)</f>
        <v>0</v>
      </c>
      <c r="F1002" t="str">
        <f>_xlfn.XLOOKUP(C1002,'Allow&amp;Disa Exp by Truelayer cat'!$B:$B,'Allow&amp;Disa Exp by Truelayer cat'!$E:$E)</f>
        <v>Deduct from expenses</v>
      </c>
    </row>
    <row r="1003" spans="1:6" x14ac:dyDescent="0.25">
      <c r="A1003" s="192" t="s">
        <v>2402</v>
      </c>
      <c r="B1003" s="192" t="s">
        <v>2407</v>
      </c>
      <c r="C1003" s="192" t="s">
        <v>667</v>
      </c>
      <c r="D1003" t="str">
        <f>_xlfn.XLOOKUP(C1003,'Allow&amp;Disa Exp by Truelayer cat'!$B:$B,'Allow&amp;Disa Exp by Truelayer cat'!$C:$C)</f>
        <v>Allowable</v>
      </c>
      <c r="E1003" s="116">
        <f>_xlfn.XLOOKUP(C1003,'Allow&amp;Disa Exp by Truelayer cat'!$B:$B,'Allow&amp;Disa Exp by Truelayer cat'!$D:$D)</f>
        <v>0</v>
      </c>
      <c r="F1003" t="str">
        <f>_xlfn.XLOOKUP(C1003,'Allow&amp;Disa Exp by Truelayer cat'!$B:$B,'Allow&amp;Disa Exp by Truelayer cat'!$E:$E)</f>
        <v>Deduct from expenses</v>
      </c>
    </row>
    <row r="1004" spans="1:6" x14ac:dyDescent="0.25">
      <c r="A1004" s="192" t="s">
        <v>2402</v>
      </c>
      <c r="B1004" s="192" t="s">
        <v>2408</v>
      </c>
      <c r="C1004" s="192" t="s">
        <v>667</v>
      </c>
      <c r="D1004" t="str">
        <f>_xlfn.XLOOKUP(C1004,'Allow&amp;Disa Exp by Truelayer cat'!$B:$B,'Allow&amp;Disa Exp by Truelayer cat'!$C:$C)</f>
        <v>Allowable</v>
      </c>
      <c r="E1004" s="116">
        <f>_xlfn.XLOOKUP(C1004,'Allow&amp;Disa Exp by Truelayer cat'!$B:$B,'Allow&amp;Disa Exp by Truelayer cat'!$D:$D)</f>
        <v>0</v>
      </c>
      <c r="F1004" t="str">
        <f>_xlfn.XLOOKUP(C1004,'Allow&amp;Disa Exp by Truelayer cat'!$B:$B,'Allow&amp;Disa Exp by Truelayer cat'!$E:$E)</f>
        <v>Deduct from expenses</v>
      </c>
    </row>
  </sheetData>
  <mergeCells count="1">
    <mergeCell ref="A1:G1"/>
  </mergeCells>
  <pageMargins left="0.7" right="0.7" top="0.75" bottom="0.75" header="0.3" footer="0.3"/>
  <pageSetup paperSize="9" scale="48"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06E4B-32C5-495F-9FB4-0CC7F6496A81}">
  <sheetPr>
    <pageSetUpPr fitToPage="1"/>
  </sheetPr>
  <dimension ref="A1:H101"/>
  <sheetViews>
    <sheetView topLeftCell="B98" zoomScale="51" workbookViewId="0">
      <selection sqref="A1:H101"/>
    </sheetView>
  </sheetViews>
  <sheetFormatPr defaultRowHeight="86.25" customHeight="1" x14ac:dyDescent="0.25"/>
  <cols>
    <col min="1" max="1" width="46.42578125" style="91" bestFit="1" customWidth="1"/>
    <col min="2" max="2" width="42.28515625" style="91" bestFit="1" customWidth="1"/>
    <col min="3" max="3" width="31.140625" style="91" bestFit="1" customWidth="1"/>
    <col min="4" max="4" width="25.7109375" style="91" bestFit="1" customWidth="1"/>
    <col min="5" max="5" width="25.7109375" style="91" customWidth="1"/>
    <col min="6" max="6" width="45.28515625" style="91" customWidth="1"/>
    <col min="7" max="7" width="78.85546875" style="93" customWidth="1"/>
    <col min="8" max="8" width="99" style="93" customWidth="1"/>
    <col min="9" max="16384" width="9.140625" style="91"/>
  </cols>
  <sheetData>
    <row r="1" spans="1:8" ht="86.25" customHeight="1" x14ac:dyDescent="0.25">
      <c r="A1" s="149" t="s">
        <v>513</v>
      </c>
      <c r="B1" s="149" t="s">
        <v>504</v>
      </c>
      <c r="C1" s="149" t="s">
        <v>669</v>
      </c>
      <c r="D1" s="149" t="s">
        <v>670</v>
      </c>
      <c r="E1" s="149" t="s">
        <v>2001</v>
      </c>
      <c r="F1" s="149" t="s">
        <v>508</v>
      </c>
      <c r="G1" s="150" t="s">
        <v>509</v>
      </c>
      <c r="H1" s="150" t="s">
        <v>511</v>
      </c>
    </row>
    <row r="2" spans="1:8" ht="86.25" customHeight="1" x14ac:dyDescent="0.25">
      <c r="A2" s="148" t="s">
        <v>550</v>
      </c>
      <c r="B2" s="148" t="s">
        <v>408</v>
      </c>
      <c r="C2" s="148" t="s">
        <v>657</v>
      </c>
      <c r="D2" s="148" t="s">
        <v>671</v>
      </c>
      <c r="E2" s="148">
        <v>0</v>
      </c>
      <c r="F2" s="148" t="s">
        <v>506</v>
      </c>
      <c r="G2" s="139" t="s">
        <v>515</v>
      </c>
      <c r="H2" s="139" t="s">
        <v>521</v>
      </c>
    </row>
    <row r="3" spans="1:8" ht="86.25" customHeight="1" x14ac:dyDescent="0.25">
      <c r="A3" s="148" t="s">
        <v>550</v>
      </c>
      <c r="B3" s="148" t="s">
        <v>409</v>
      </c>
      <c r="C3" s="148" t="s">
        <v>657</v>
      </c>
      <c r="D3" s="148" t="s">
        <v>671</v>
      </c>
      <c r="E3" s="148" t="s">
        <v>3428</v>
      </c>
      <c r="F3" s="148" t="s">
        <v>506</v>
      </c>
      <c r="G3" s="139" t="s">
        <v>516</v>
      </c>
      <c r="H3" s="139" t="s">
        <v>521</v>
      </c>
    </row>
    <row r="4" spans="1:8" ht="86.25" customHeight="1" x14ac:dyDescent="0.25">
      <c r="A4" s="148" t="s">
        <v>106</v>
      </c>
      <c r="B4" s="148" t="s">
        <v>410</v>
      </c>
      <c r="C4" s="148" t="s">
        <v>656</v>
      </c>
      <c r="D4" s="148" t="s">
        <v>672</v>
      </c>
      <c r="E4" s="148" t="s">
        <v>3428</v>
      </c>
      <c r="F4" s="148" t="s">
        <v>507</v>
      </c>
      <c r="G4" s="139"/>
      <c r="H4" s="139" t="s">
        <v>512</v>
      </c>
    </row>
    <row r="5" spans="1:8" ht="86.25" customHeight="1" x14ac:dyDescent="0.25">
      <c r="A5" s="148" t="s">
        <v>106</v>
      </c>
      <c r="B5" s="148" t="s">
        <v>411</v>
      </c>
      <c r="C5" s="148" t="s">
        <v>656</v>
      </c>
      <c r="D5" s="148" t="s">
        <v>672</v>
      </c>
      <c r="E5" s="148" t="s">
        <v>3428</v>
      </c>
      <c r="F5" s="148" t="s">
        <v>506</v>
      </c>
      <c r="G5" s="139" t="s">
        <v>517</v>
      </c>
      <c r="H5" s="139" t="s">
        <v>521</v>
      </c>
    </row>
    <row r="6" spans="1:8" ht="86.25" customHeight="1" x14ac:dyDescent="0.25">
      <c r="A6" s="148" t="s">
        <v>106</v>
      </c>
      <c r="B6" s="148" t="s">
        <v>412</v>
      </c>
      <c r="C6" s="148" t="s">
        <v>656</v>
      </c>
      <c r="D6" s="148" t="s">
        <v>672</v>
      </c>
      <c r="E6" s="148" t="s">
        <v>3428</v>
      </c>
      <c r="F6" s="148" t="s">
        <v>507</v>
      </c>
      <c r="G6" s="139"/>
      <c r="H6" s="139" t="s">
        <v>512</v>
      </c>
    </row>
    <row r="7" spans="1:8" ht="86.25" customHeight="1" x14ac:dyDescent="0.25">
      <c r="A7" s="148" t="s">
        <v>106</v>
      </c>
      <c r="B7" s="148" t="s">
        <v>413</v>
      </c>
      <c r="C7" s="148" t="s">
        <v>656</v>
      </c>
      <c r="D7" s="148" t="s">
        <v>672</v>
      </c>
      <c r="E7" s="148" t="s">
        <v>3429</v>
      </c>
      <c r="F7" s="148" t="s">
        <v>506</v>
      </c>
      <c r="G7" s="139" t="s">
        <v>523</v>
      </c>
      <c r="H7" s="139" t="s">
        <v>521</v>
      </c>
    </row>
    <row r="8" spans="1:8" ht="86.25" customHeight="1" x14ac:dyDescent="0.25">
      <c r="A8" s="148" t="s">
        <v>106</v>
      </c>
      <c r="B8" s="148" t="s">
        <v>414</v>
      </c>
      <c r="C8" s="148" t="s">
        <v>656</v>
      </c>
      <c r="D8" s="148" t="s">
        <v>672</v>
      </c>
      <c r="E8" s="148" t="s">
        <v>3430</v>
      </c>
      <c r="F8" s="148" t="s">
        <v>506</v>
      </c>
      <c r="G8" s="139" t="s">
        <v>518</v>
      </c>
      <c r="H8" s="139" t="s">
        <v>521</v>
      </c>
    </row>
    <row r="9" spans="1:8" ht="86.25" customHeight="1" x14ac:dyDescent="0.25">
      <c r="A9" s="148" t="s">
        <v>106</v>
      </c>
      <c r="B9" s="148" t="s">
        <v>415</v>
      </c>
      <c r="C9" s="148" t="s">
        <v>656</v>
      </c>
      <c r="D9" s="148" t="s">
        <v>672</v>
      </c>
      <c r="E9" s="148" t="s">
        <v>3428</v>
      </c>
      <c r="F9" s="148" t="s">
        <v>507</v>
      </c>
      <c r="G9" s="139"/>
      <c r="H9" s="139" t="s">
        <v>512</v>
      </c>
    </row>
    <row r="10" spans="1:8" ht="86.25" customHeight="1" x14ac:dyDescent="0.25">
      <c r="A10" s="148" t="s">
        <v>106</v>
      </c>
      <c r="B10" s="148" t="s">
        <v>416</v>
      </c>
      <c r="C10" s="148" t="s">
        <v>656</v>
      </c>
      <c r="D10" s="148" t="s">
        <v>672</v>
      </c>
      <c r="E10" s="148" t="s">
        <v>3428</v>
      </c>
      <c r="F10" s="148" t="s">
        <v>507</v>
      </c>
      <c r="G10" s="139"/>
      <c r="H10" s="139" t="s">
        <v>512</v>
      </c>
    </row>
    <row r="11" spans="1:8" ht="86.25" customHeight="1" x14ac:dyDescent="0.25">
      <c r="A11" s="148" t="s">
        <v>106</v>
      </c>
      <c r="B11" s="148" t="s">
        <v>107</v>
      </c>
      <c r="C11" s="148" t="s">
        <v>656</v>
      </c>
      <c r="D11" s="148" t="s">
        <v>672</v>
      </c>
      <c r="E11" s="148" t="s">
        <v>3431</v>
      </c>
      <c r="F11" s="148" t="s">
        <v>507</v>
      </c>
      <c r="G11" s="139"/>
      <c r="H11" s="139" t="s">
        <v>512</v>
      </c>
    </row>
    <row r="12" spans="1:8" ht="86.25" customHeight="1" x14ac:dyDescent="0.25">
      <c r="A12" s="148" t="s">
        <v>417</v>
      </c>
      <c r="B12" s="148" t="s">
        <v>418</v>
      </c>
      <c r="C12" s="148" t="s">
        <v>656</v>
      </c>
      <c r="D12" s="148" t="s">
        <v>672</v>
      </c>
      <c r="E12" s="148">
        <v>0</v>
      </c>
      <c r="F12" s="148" t="s">
        <v>506</v>
      </c>
      <c r="G12" s="139" t="s">
        <v>510</v>
      </c>
      <c r="H12" s="139" t="s">
        <v>521</v>
      </c>
    </row>
    <row r="13" spans="1:8" ht="86.25" customHeight="1" x14ac:dyDescent="0.25">
      <c r="A13" s="148" t="s">
        <v>417</v>
      </c>
      <c r="B13" s="148" t="s">
        <v>419</v>
      </c>
      <c r="C13" s="148" t="s">
        <v>656</v>
      </c>
      <c r="D13" s="148" t="s">
        <v>672</v>
      </c>
      <c r="E13" s="148" t="s">
        <v>3429</v>
      </c>
      <c r="F13" s="148" t="s">
        <v>506</v>
      </c>
      <c r="G13" s="139" t="s">
        <v>510</v>
      </c>
      <c r="H13" s="139" t="s">
        <v>521</v>
      </c>
    </row>
    <row r="14" spans="1:8" ht="86.25" customHeight="1" x14ac:dyDescent="0.25">
      <c r="A14" s="148" t="s">
        <v>417</v>
      </c>
      <c r="B14" s="148" t="s">
        <v>420</v>
      </c>
      <c r="C14" s="148" t="s">
        <v>656</v>
      </c>
      <c r="D14" s="148" t="s">
        <v>672</v>
      </c>
      <c r="E14" s="148">
        <v>0</v>
      </c>
      <c r="F14" s="148" t="s">
        <v>505</v>
      </c>
      <c r="G14" s="139" t="s">
        <v>519</v>
      </c>
      <c r="H14" s="139" t="s">
        <v>521</v>
      </c>
    </row>
    <row r="15" spans="1:8" ht="86.25" customHeight="1" x14ac:dyDescent="0.25">
      <c r="A15" s="148" t="s">
        <v>421</v>
      </c>
      <c r="B15" s="148" t="s">
        <v>422</v>
      </c>
      <c r="C15" s="148" t="s">
        <v>656</v>
      </c>
      <c r="D15" s="148" t="s">
        <v>672</v>
      </c>
      <c r="E15" s="148">
        <v>0</v>
      </c>
      <c r="F15" s="148" t="s">
        <v>507</v>
      </c>
      <c r="G15" s="139"/>
      <c r="H15" s="139" t="s">
        <v>512</v>
      </c>
    </row>
    <row r="16" spans="1:8" ht="86.25" customHeight="1" x14ac:dyDescent="0.25">
      <c r="A16" s="148" t="s">
        <v>421</v>
      </c>
      <c r="B16" s="148" t="s">
        <v>423</v>
      </c>
      <c r="C16" s="148" t="s">
        <v>656</v>
      </c>
      <c r="D16" s="148" t="s">
        <v>672</v>
      </c>
      <c r="E16" s="148" t="s">
        <v>3432</v>
      </c>
      <c r="F16" s="148" t="s">
        <v>506</v>
      </c>
      <c r="G16" s="139" t="s">
        <v>514</v>
      </c>
      <c r="H16" s="139" t="s">
        <v>521</v>
      </c>
    </row>
    <row r="17" spans="1:8" ht="86.25" customHeight="1" x14ac:dyDescent="0.25">
      <c r="A17" s="148" t="s">
        <v>421</v>
      </c>
      <c r="B17" s="148" t="s">
        <v>376</v>
      </c>
      <c r="C17" s="148" t="s">
        <v>656</v>
      </c>
      <c r="D17" s="148" t="s">
        <v>672</v>
      </c>
      <c r="E17" s="148">
        <v>0</v>
      </c>
      <c r="F17" s="148" t="s">
        <v>506</v>
      </c>
      <c r="G17" s="139" t="s">
        <v>520</v>
      </c>
      <c r="H17" s="139" t="s">
        <v>521</v>
      </c>
    </row>
    <row r="18" spans="1:8" ht="86.25" customHeight="1" x14ac:dyDescent="0.25">
      <c r="A18" s="148" t="s">
        <v>421</v>
      </c>
      <c r="B18" s="148" t="s">
        <v>424</v>
      </c>
      <c r="C18" s="148" t="s">
        <v>656</v>
      </c>
      <c r="D18" s="148" t="s">
        <v>672</v>
      </c>
      <c r="E18" s="148">
        <v>0</v>
      </c>
      <c r="F18" s="148" t="s">
        <v>506</v>
      </c>
      <c r="G18" s="139" t="s">
        <v>522</v>
      </c>
      <c r="H18" s="139" t="s">
        <v>521</v>
      </c>
    </row>
    <row r="19" spans="1:8" ht="86.25" customHeight="1" x14ac:dyDescent="0.25">
      <c r="A19" s="148" t="s">
        <v>421</v>
      </c>
      <c r="B19" s="148" t="s">
        <v>425</v>
      </c>
      <c r="C19" s="148" t="s">
        <v>656</v>
      </c>
      <c r="D19" s="148" t="s">
        <v>672</v>
      </c>
      <c r="E19" s="148" t="s">
        <v>3429</v>
      </c>
      <c r="F19" s="148" t="s">
        <v>506</v>
      </c>
      <c r="G19" s="139" t="s">
        <v>523</v>
      </c>
      <c r="H19" s="139" t="s">
        <v>521</v>
      </c>
    </row>
    <row r="20" spans="1:8" ht="86.25" customHeight="1" x14ac:dyDescent="0.25">
      <c r="A20" s="148" t="s">
        <v>421</v>
      </c>
      <c r="B20" s="148" t="s">
        <v>426</v>
      </c>
      <c r="C20" s="148" t="s">
        <v>656</v>
      </c>
      <c r="D20" s="148" t="s">
        <v>672</v>
      </c>
      <c r="E20" s="148" t="s">
        <v>3429</v>
      </c>
      <c r="F20" s="148" t="s">
        <v>506</v>
      </c>
      <c r="G20" s="139" t="s">
        <v>523</v>
      </c>
      <c r="H20" s="139" t="s">
        <v>521</v>
      </c>
    </row>
    <row r="21" spans="1:8" ht="86.25" customHeight="1" x14ac:dyDescent="0.25">
      <c r="A21" s="148" t="s">
        <v>421</v>
      </c>
      <c r="B21" s="148" t="s">
        <v>427</v>
      </c>
      <c r="C21" s="148" t="s">
        <v>656</v>
      </c>
      <c r="D21" s="148" t="s">
        <v>672</v>
      </c>
      <c r="E21" s="148" t="s">
        <v>3429</v>
      </c>
      <c r="F21" s="148" t="s">
        <v>660</v>
      </c>
      <c r="G21" s="139"/>
      <c r="H21" s="139" t="s">
        <v>661</v>
      </c>
    </row>
    <row r="22" spans="1:8" ht="86.25" customHeight="1" x14ac:dyDescent="0.25">
      <c r="A22" s="148" t="s">
        <v>421</v>
      </c>
      <c r="B22" s="148" t="s">
        <v>427</v>
      </c>
      <c r="C22" s="148" t="s">
        <v>657</v>
      </c>
      <c r="D22" s="148" t="s">
        <v>720</v>
      </c>
      <c r="E22" s="148">
        <v>0</v>
      </c>
      <c r="F22" s="148" t="s">
        <v>659</v>
      </c>
      <c r="G22" s="139" t="s">
        <v>658</v>
      </c>
      <c r="H22" s="139" t="s">
        <v>655</v>
      </c>
    </row>
    <row r="23" spans="1:8" ht="86.25" customHeight="1" x14ac:dyDescent="0.25">
      <c r="A23" s="148" t="s">
        <v>421</v>
      </c>
      <c r="B23" s="148" t="s">
        <v>428</v>
      </c>
      <c r="C23" s="148" t="s">
        <v>656</v>
      </c>
      <c r="D23" s="148" t="s">
        <v>672</v>
      </c>
      <c r="E23" s="148">
        <v>0</v>
      </c>
      <c r="F23" s="148" t="s">
        <v>507</v>
      </c>
      <c r="G23" s="139"/>
      <c r="H23" s="139" t="s">
        <v>512</v>
      </c>
    </row>
    <row r="24" spans="1:8" ht="86.25" customHeight="1" x14ac:dyDescent="0.25">
      <c r="A24" s="148" t="s">
        <v>421</v>
      </c>
      <c r="B24" s="148" t="s">
        <v>429</v>
      </c>
      <c r="C24" s="148" t="s">
        <v>656</v>
      </c>
      <c r="D24" s="148" t="s">
        <v>672</v>
      </c>
      <c r="E24" s="148">
        <v>0</v>
      </c>
      <c r="F24" s="148" t="s">
        <v>507</v>
      </c>
      <c r="G24" s="139"/>
      <c r="H24" s="139" t="s">
        <v>512</v>
      </c>
    </row>
    <row r="25" spans="1:8" ht="86.25" customHeight="1" x14ac:dyDescent="0.25">
      <c r="A25" s="148" t="s">
        <v>430</v>
      </c>
      <c r="B25" s="148" t="s">
        <v>431</v>
      </c>
      <c r="C25" s="148" t="s">
        <v>656</v>
      </c>
      <c r="D25" s="148" t="s">
        <v>672</v>
      </c>
      <c r="E25" s="148">
        <v>0</v>
      </c>
      <c r="F25" s="148" t="s">
        <v>507</v>
      </c>
      <c r="G25" s="139"/>
      <c r="H25" s="139" t="s">
        <v>512</v>
      </c>
    </row>
    <row r="26" spans="1:8" ht="86.25" customHeight="1" x14ac:dyDescent="0.25">
      <c r="A26" s="148" t="s">
        <v>430</v>
      </c>
      <c r="B26" s="148" t="s">
        <v>432</v>
      </c>
      <c r="C26" s="148" t="s">
        <v>656</v>
      </c>
      <c r="D26" s="148" t="s">
        <v>672</v>
      </c>
      <c r="E26" s="148">
        <v>0</v>
      </c>
      <c r="F26" s="148" t="s">
        <v>506</v>
      </c>
      <c r="G26" s="139" t="s">
        <v>523</v>
      </c>
      <c r="H26" s="139" t="s">
        <v>521</v>
      </c>
    </row>
    <row r="27" spans="1:8" ht="86.25" customHeight="1" x14ac:dyDescent="0.25">
      <c r="A27" s="148" t="s">
        <v>430</v>
      </c>
      <c r="B27" s="148" t="s">
        <v>433</v>
      </c>
      <c r="C27" s="148" t="s">
        <v>656</v>
      </c>
      <c r="D27" s="148" t="s">
        <v>672</v>
      </c>
      <c r="E27" s="148">
        <v>0</v>
      </c>
      <c r="F27" s="148" t="s">
        <v>507</v>
      </c>
      <c r="G27" s="139"/>
      <c r="H27" s="139" t="s">
        <v>512</v>
      </c>
    </row>
    <row r="28" spans="1:8" ht="86.25" customHeight="1" x14ac:dyDescent="0.25">
      <c r="A28" s="148" t="s">
        <v>430</v>
      </c>
      <c r="B28" s="148" t="s">
        <v>434</v>
      </c>
      <c r="C28" s="148" t="s">
        <v>656</v>
      </c>
      <c r="D28" s="148" t="s">
        <v>672</v>
      </c>
      <c r="E28" s="148">
        <v>0</v>
      </c>
      <c r="F28" s="148" t="s">
        <v>507</v>
      </c>
      <c r="G28" s="139"/>
      <c r="H28" s="139" t="s">
        <v>512</v>
      </c>
    </row>
    <row r="29" spans="1:8" ht="86.25" customHeight="1" x14ac:dyDescent="0.25">
      <c r="A29" s="148" t="s">
        <v>435</v>
      </c>
      <c r="B29" s="148" t="s">
        <v>436</v>
      </c>
      <c r="C29" s="148" t="s">
        <v>656</v>
      </c>
      <c r="D29" s="148" t="s">
        <v>672</v>
      </c>
      <c r="E29" s="148">
        <v>0</v>
      </c>
      <c r="F29" s="148" t="s">
        <v>506</v>
      </c>
      <c r="G29" s="139" t="s">
        <v>523</v>
      </c>
      <c r="H29" s="139" t="s">
        <v>512</v>
      </c>
    </row>
    <row r="30" spans="1:8" ht="86.25" customHeight="1" x14ac:dyDescent="0.25">
      <c r="A30" s="148" t="s">
        <v>435</v>
      </c>
      <c r="B30" s="148" t="s">
        <v>437</v>
      </c>
      <c r="C30" s="148" t="s">
        <v>656</v>
      </c>
      <c r="D30" s="148" t="s">
        <v>672</v>
      </c>
      <c r="E30" s="148">
        <v>0</v>
      </c>
      <c r="F30" s="148" t="s">
        <v>505</v>
      </c>
      <c r="G30" s="139"/>
      <c r="H30" s="139" t="s">
        <v>524</v>
      </c>
    </row>
    <row r="31" spans="1:8" ht="86.25" customHeight="1" x14ac:dyDescent="0.25">
      <c r="A31" s="148" t="s">
        <v>435</v>
      </c>
      <c r="B31" s="148" t="s">
        <v>438</v>
      </c>
      <c r="C31" s="148" t="s">
        <v>656</v>
      </c>
      <c r="D31" s="148" t="s">
        <v>672</v>
      </c>
      <c r="E31" s="148">
        <v>0</v>
      </c>
      <c r="F31" s="148" t="s">
        <v>506</v>
      </c>
      <c r="G31" s="139" t="s">
        <v>523</v>
      </c>
      <c r="H31" s="139" t="s">
        <v>512</v>
      </c>
    </row>
    <row r="32" spans="1:8" ht="86.25" customHeight="1" x14ac:dyDescent="0.25">
      <c r="A32" s="148" t="s">
        <v>435</v>
      </c>
      <c r="B32" s="148" t="s">
        <v>439</v>
      </c>
      <c r="C32" s="148" t="s">
        <v>656</v>
      </c>
      <c r="D32" s="148" t="s">
        <v>672</v>
      </c>
      <c r="E32" s="148">
        <v>0</v>
      </c>
      <c r="F32" s="148" t="s">
        <v>505</v>
      </c>
      <c r="G32" s="139"/>
      <c r="H32" s="139" t="s">
        <v>524</v>
      </c>
    </row>
    <row r="33" spans="1:8" ht="86.25" customHeight="1" x14ac:dyDescent="0.25">
      <c r="A33" s="148" t="s">
        <v>435</v>
      </c>
      <c r="B33" s="148" t="s">
        <v>440</v>
      </c>
      <c r="C33" s="148" t="s">
        <v>656</v>
      </c>
      <c r="D33" s="148" t="s">
        <v>672</v>
      </c>
      <c r="E33" s="148">
        <v>0</v>
      </c>
      <c r="F33" s="148" t="s">
        <v>507</v>
      </c>
      <c r="G33" s="139"/>
      <c r="H33" s="139" t="s">
        <v>512</v>
      </c>
    </row>
    <row r="34" spans="1:8" ht="86.25" customHeight="1" x14ac:dyDescent="0.25">
      <c r="A34" s="148" t="s">
        <v>435</v>
      </c>
      <c r="B34" s="148" t="s">
        <v>422</v>
      </c>
      <c r="C34" s="148" t="s">
        <v>656</v>
      </c>
      <c r="D34" s="148" t="s">
        <v>672</v>
      </c>
      <c r="E34" s="148">
        <v>0</v>
      </c>
      <c r="F34" s="148" t="s">
        <v>507</v>
      </c>
      <c r="G34" s="139"/>
      <c r="H34" s="139" t="s">
        <v>512</v>
      </c>
    </row>
    <row r="35" spans="1:8" ht="86.25" customHeight="1" x14ac:dyDescent="0.25">
      <c r="A35" s="148" t="s">
        <v>435</v>
      </c>
      <c r="B35" s="148" t="s">
        <v>441</v>
      </c>
      <c r="C35" s="148" t="s">
        <v>656</v>
      </c>
      <c r="D35" s="148" t="s">
        <v>672</v>
      </c>
      <c r="E35" s="148" t="s">
        <v>3432</v>
      </c>
      <c r="F35" s="148" t="s">
        <v>507</v>
      </c>
      <c r="G35" s="139"/>
      <c r="H35" s="139" t="s">
        <v>512</v>
      </c>
    </row>
    <row r="36" spans="1:8" ht="86.25" customHeight="1" x14ac:dyDescent="0.25">
      <c r="A36" s="148" t="s">
        <v>442</v>
      </c>
      <c r="B36" s="148" t="s">
        <v>443</v>
      </c>
      <c r="C36" s="148" t="s">
        <v>656</v>
      </c>
      <c r="D36" s="148" t="s">
        <v>672</v>
      </c>
      <c r="E36" s="148">
        <v>0</v>
      </c>
      <c r="F36" s="148" t="s">
        <v>506</v>
      </c>
      <c r="G36" s="139" t="s">
        <v>523</v>
      </c>
      <c r="H36" s="139" t="s">
        <v>521</v>
      </c>
    </row>
    <row r="37" spans="1:8" ht="86.25" customHeight="1" x14ac:dyDescent="0.25">
      <c r="A37" s="148" t="s">
        <v>442</v>
      </c>
      <c r="B37" s="148" t="s">
        <v>444</v>
      </c>
      <c r="C37" s="148" t="s">
        <v>656</v>
      </c>
      <c r="D37" s="148" t="s">
        <v>672</v>
      </c>
      <c r="E37" s="148" t="s">
        <v>3433</v>
      </c>
      <c r="F37" s="148" t="s">
        <v>506</v>
      </c>
      <c r="G37" s="139" t="s">
        <v>523</v>
      </c>
      <c r="H37" s="139" t="s">
        <v>512</v>
      </c>
    </row>
    <row r="38" spans="1:8" ht="86.25" customHeight="1" x14ac:dyDescent="0.25">
      <c r="A38" s="148" t="s">
        <v>442</v>
      </c>
      <c r="B38" s="148" t="s">
        <v>445</v>
      </c>
      <c r="C38" s="148" t="s">
        <v>656</v>
      </c>
      <c r="D38" s="148" t="s">
        <v>672</v>
      </c>
      <c r="E38" s="148">
        <v>0</v>
      </c>
      <c r="F38" s="148" t="s">
        <v>506</v>
      </c>
      <c r="G38" s="139" t="s">
        <v>523</v>
      </c>
      <c r="H38" s="139" t="s">
        <v>521</v>
      </c>
    </row>
    <row r="39" spans="1:8" ht="86.25" customHeight="1" x14ac:dyDescent="0.25">
      <c r="A39" s="148" t="s">
        <v>442</v>
      </c>
      <c r="B39" s="148" t="s">
        <v>446</v>
      </c>
      <c r="C39" s="148" t="s">
        <v>656</v>
      </c>
      <c r="D39" s="148" t="s">
        <v>672</v>
      </c>
      <c r="E39" s="148" t="s">
        <v>3428</v>
      </c>
      <c r="F39" s="148" t="s">
        <v>506</v>
      </c>
      <c r="G39" s="139" t="s">
        <v>523</v>
      </c>
      <c r="H39" s="139" t="s">
        <v>512</v>
      </c>
    </row>
    <row r="40" spans="1:8" ht="86.25" customHeight="1" x14ac:dyDescent="0.25">
      <c r="A40" s="148" t="s">
        <v>442</v>
      </c>
      <c r="B40" s="148" t="s">
        <v>447</v>
      </c>
      <c r="C40" s="148" t="s">
        <v>656</v>
      </c>
      <c r="D40" s="148" t="s">
        <v>672</v>
      </c>
      <c r="E40" s="148" t="s">
        <v>3428</v>
      </c>
      <c r="F40" s="148" t="s">
        <v>506</v>
      </c>
      <c r="G40" s="139" t="s">
        <v>523</v>
      </c>
      <c r="H40" s="139" t="s">
        <v>521</v>
      </c>
    </row>
    <row r="41" spans="1:8" ht="86.25" customHeight="1" x14ac:dyDescent="0.25">
      <c r="A41" s="148" t="s">
        <v>442</v>
      </c>
      <c r="B41" s="148" t="s">
        <v>448</v>
      </c>
      <c r="C41" s="148" t="s">
        <v>656</v>
      </c>
      <c r="D41" s="148" t="s">
        <v>672</v>
      </c>
      <c r="E41" s="148" t="s">
        <v>3434</v>
      </c>
      <c r="F41" s="148" t="s">
        <v>506</v>
      </c>
      <c r="G41" s="139" t="s">
        <v>523</v>
      </c>
      <c r="H41" s="139" t="s">
        <v>512</v>
      </c>
    </row>
    <row r="42" spans="1:8" ht="86.25" customHeight="1" x14ac:dyDescent="0.25">
      <c r="A42" s="148" t="s">
        <v>449</v>
      </c>
      <c r="B42" s="148" t="s">
        <v>450</v>
      </c>
      <c r="C42" s="148" t="s">
        <v>656</v>
      </c>
      <c r="D42" s="148" t="s">
        <v>672</v>
      </c>
      <c r="E42" s="148">
        <v>0</v>
      </c>
      <c r="F42" s="148" t="s">
        <v>506</v>
      </c>
      <c r="G42" s="139" t="s">
        <v>526</v>
      </c>
      <c r="H42" s="139" t="s">
        <v>525</v>
      </c>
    </row>
    <row r="43" spans="1:8" ht="86.25" customHeight="1" x14ac:dyDescent="0.25">
      <c r="A43" s="148" t="s">
        <v>449</v>
      </c>
      <c r="B43" s="148" t="s">
        <v>451</v>
      </c>
      <c r="C43" s="148" t="s">
        <v>656</v>
      </c>
      <c r="D43" s="148" t="s">
        <v>672</v>
      </c>
      <c r="E43" s="148" t="s">
        <v>3435</v>
      </c>
      <c r="F43" s="148" t="s">
        <v>506</v>
      </c>
      <c r="G43" s="139" t="s">
        <v>898</v>
      </c>
      <c r="H43" s="139" t="s">
        <v>900</v>
      </c>
    </row>
    <row r="44" spans="1:8" ht="86.25" customHeight="1" x14ac:dyDescent="0.25">
      <c r="A44" s="148" t="s">
        <v>452</v>
      </c>
      <c r="B44" s="148" t="s">
        <v>453</v>
      </c>
      <c r="C44" s="148" t="s">
        <v>656</v>
      </c>
      <c r="D44" s="148" t="s">
        <v>672</v>
      </c>
      <c r="E44" s="148" t="s">
        <v>3436</v>
      </c>
      <c r="F44" s="148" t="s">
        <v>506</v>
      </c>
      <c r="G44" s="139" t="s">
        <v>523</v>
      </c>
      <c r="H44" s="139" t="s">
        <v>521</v>
      </c>
    </row>
    <row r="45" spans="1:8" ht="86.25" customHeight="1" x14ac:dyDescent="0.25">
      <c r="A45" s="148" t="s">
        <v>452</v>
      </c>
      <c r="B45" s="148" t="s">
        <v>454</v>
      </c>
      <c r="C45" s="148" t="s">
        <v>656</v>
      </c>
      <c r="D45" s="148" t="s">
        <v>672</v>
      </c>
      <c r="E45" s="148" t="s">
        <v>3436</v>
      </c>
      <c r="F45" s="148" t="s">
        <v>506</v>
      </c>
      <c r="G45" s="139" t="s">
        <v>523</v>
      </c>
      <c r="H45" s="139" t="s">
        <v>521</v>
      </c>
    </row>
    <row r="46" spans="1:8" ht="86.25" customHeight="1" x14ac:dyDescent="0.25">
      <c r="A46" s="148" t="s">
        <v>452</v>
      </c>
      <c r="B46" s="148" t="s">
        <v>455</v>
      </c>
      <c r="C46" s="148" t="s">
        <v>656</v>
      </c>
      <c r="D46" s="148" t="s">
        <v>672</v>
      </c>
      <c r="E46" s="148">
        <v>0</v>
      </c>
      <c r="F46" s="148" t="s">
        <v>506</v>
      </c>
      <c r="G46" s="139" t="s">
        <v>523</v>
      </c>
      <c r="H46" s="139" t="s">
        <v>521</v>
      </c>
    </row>
    <row r="47" spans="1:8" ht="86.25" customHeight="1" x14ac:dyDescent="0.25">
      <c r="A47" s="148" t="s">
        <v>452</v>
      </c>
      <c r="B47" s="148" t="s">
        <v>456</v>
      </c>
      <c r="C47" s="148" t="s">
        <v>656</v>
      </c>
      <c r="D47" s="148" t="s">
        <v>672</v>
      </c>
      <c r="E47" s="148" t="s">
        <v>3437</v>
      </c>
      <c r="F47" s="148" t="s">
        <v>506</v>
      </c>
      <c r="G47" s="139" t="s">
        <v>523</v>
      </c>
      <c r="H47" s="139" t="s">
        <v>521</v>
      </c>
    </row>
    <row r="48" spans="1:8" ht="86.25" customHeight="1" x14ac:dyDescent="0.25">
      <c r="A48" s="148" t="s">
        <v>452</v>
      </c>
      <c r="B48" s="148" t="s">
        <v>457</v>
      </c>
      <c r="C48" s="148" t="s">
        <v>656</v>
      </c>
      <c r="D48" s="148" t="s">
        <v>672</v>
      </c>
      <c r="E48" s="148" t="s">
        <v>3435</v>
      </c>
      <c r="F48" s="148" t="s">
        <v>506</v>
      </c>
      <c r="G48" s="139" t="s">
        <v>523</v>
      </c>
      <c r="H48" s="139" t="s">
        <v>521</v>
      </c>
    </row>
    <row r="49" spans="1:8" ht="86.25" customHeight="1" x14ac:dyDescent="0.25">
      <c r="A49" s="148" t="s">
        <v>452</v>
      </c>
      <c r="B49" s="148" t="s">
        <v>458</v>
      </c>
      <c r="C49" s="148" t="s">
        <v>656</v>
      </c>
      <c r="D49" s="148" t="s">
        <v>672</v>
      </c>
      <c r="E49" s="148" t="s">
        <v>3438</v>
      </c>
      <c r="F49" s="148" t="s">
        <v>506</v>
      </c>
      <c r="G49" s="139" t="s">
        <v>523</v>
      </c>
      <c r="H49" s="139" t="s">
        <v>521</v>
      </c>
    </row>
    <row r="50" spans="1:8" ht="86.25" customHeight="1" x14ac:dyDescent="0.25">
      <c r="A50" s="148" t="s">
        <v>459</v>
      </c>
      <c r="B50" s="148" t="s">
        <v>460</v>
      </c>
      <c r="C50" s="148" t="s">
        <v>656</v>
      </c>
      <c r="D50" s="148" t="s">
        <v>672</v>
      </c>
      <c r="E50" s="148" t="s">
        <v>3429</v>
      </c>
      <c r="F50" s="148" t="s">
        <v>506</v>
      </c>
      <c r="G50" s="139" t="s">
        <v>523</v>
      </c>
      <c r="H50" s="139" t="s">
        <v>521</v>
      </c>
    </row>
    <row r="51" spans="1:8" ht="86.25" customHeight="1" x14ac:dyDescent="0.25">
      <c r="A51" s="148" t="s">
        <v>459</v>
      </c>
      <c r="B51" s="148" t="s">
        <v>461</v>
      </c>
      <c r="C51" s="148" t="s">
        <v>656</v>
      </c>
      <c r="D51" s="148" t="s">
        <v>672</v>
      </c>
      <c r="E51" s="148" t="s">
        <v>3429</v>
      </c>
      <c r="F51" s="148" t="s">
        <v>505</v>
      </c>
      <c r="G51" s="139"/>
      <c r="H51" s="139" t="s">
        <v>524</v>
      </c>
    </row>
    <row r="52" spans="1:8" ht="86.25" customHeight="1" x14ac:dyDescent="0.25">
      <c r="A52" s="148" t="s">
        <v>459</v>
      </c>
      <c r="B52" s="148" t="s">
        <v>462</v>
      </c>
      <c r="C52" s="148" t="s">
        <v>656</v>
      </c>
      <c r="D52" s="148" t="s">
        <v>672</v>
      </c>
      <c r="E52" s="148" t="s">
        <v>3429</v>
      </c>
      <c r="F52" s="148" t="s">
        <v>505</v>
      </c>
      <c r="G52" s="139"/>
      <c r="H52" s="139" t="s">
        <v>524</v>
      </c>
    </row>
    <row r="53" spans="1:8" ht="86.25" customHeight="1" x14ac:dyDescent="0.25">
      <c r="A53" s="148" t="s">
        <v>459</v>
      </c>
      <c r="B53" s="148" t="s">
        <v>463</v>
      </c>
      <c r="C53" s="148" t="s">
        <v>656</v>
      </c>
      <c r="D53" s="148" t="s">
        <v>672</v>
      </c>
      <c r="E53" s="148" t="s">
        <v>3439</v>
      </c>
      <c r="F53" s="148" t="s">
        <v>505</v>
      </c>
      <c r="G53" s="139"/>
      <c r="H53" s="139" t="s">
        <v>524</v>
      </c>
    </row>
    <row r="54" spans="1:8" ht="86.25" customHeight="1" x14ac:dyDescent="0.25">
      <c r="A54" s="148" t="s">
        <v>459</v>
      </c>
      <c r="B54" s="148" t="s">
        <v>464</v>
      </c>
      <c r="C54" s="148" t="s">
        <v>656</v>
      </c>
      <c r="D54" s="148" t="s">
        <v>672</v>
      </c>
      <c r="E54" s="148" t="s">
        <v>3440</v>
      </c>
      <c r="F54" s="148" t="s">
        <v>505</v>
      </c>
      <c r="G54" s="139"/>
      <c r="H54" s="139" t="s">
        <v>524</v>
      </c>
    </row>
    <row r="55" spans="1:8" ht="86.25" customHeight="1" x14ac:dyDescent="0.25">
      <c r="A55" s="148" t="s">
        <v>465</v>
      </c>
      <c r="B55" s="148" t="s">
        <v>466</v>
      </c>
      <c r="C55" s="148" t="s">
        <v>656</v>
      </c>
      <c r="D55" s="148" t="s">
        <v>672</v>
      </c>
      <c r="E55" s="148" t="s">
        <v>3440</v>
      </c>
      <c r="F55" s="148" t="s">
        <v>505</v>
      </c>
      <c r="G55" s="139"/>
      <c r="H55" s="139" t="s">
        <v>524</v>
      </c>
    </row>
    <row r="56" spans="1:8" ht="86.25" customHeight="1" x14ac:dyDescent="0.25">
      <c r="A56" s="148" t="s">
        <v>465</v>
      </c>
      <c r="B56" s="148" t="s">
        <v>467</v>
      </c>
      <c r="C56" s="148" t="s">
        <v>656</v>
      </c>
      <c r="D56" s="148" t="s">
        <v>672</v>
      </c>
      <c r="E56" s="148" t="s">
        <v>3441</v>
      </c>
      <c r="F56" s="148" t="s">
        <v>505</v>
      </c>
      <c r="G56" s="139"/>
      <c r="H56" s="139" t="s">
        <v>524</v>
      </c>
    </row>
    <row r="57" spans="1:8" ht="86.25" customHeight="1" x14ac:dyDescent="0.25">
      <c r="A57" s="148" t="s">
        <v>465</v>
      </c>
      <c r="B57" s="148" t="s">
        <v>468</v>
      </c>
      <c r="C57" s="148" t="s">
        <v>656</v>
      </c>
      <c r="D57" s="148" t="s">
        <v>672</v>
      </c>
      <c r="E57" s="148" t="s">
        <v>3441</v>
      </c>
      <c r="F57" s="148" t="s">
        <v>506</v>
      </c>
      <c r="G57" s="139" t="s">
        <v>527</v>
      </c>
      <c r="H57" s="139" t="s">
        <v>528</v>
      </c>
    </row>
    <row r="58" spans="1:8" ht="86.25" customHeight="1" x14ac:dyDescent="0.25">
      <c r="A58" s="148" t="s">
        <v>465</v>
      </c>
      <c r="B58" s="148" t="s">
        <v>469</v>
      </c>
      <c r="C58" s="148" t="s">
        <v>656</v>
      </c>
      <c r="D58" s="148" t="s">
        <v>672</v>
      </c>
      <c r="E58" s="148" t="s">
        <v>3440</v>
      </c>
      <c r="F58" s="148" t="s">
        <v>505</v>
      </c>
      <c r="G58" s="139"/>
      <c r="H58" s="139" t="s">
        <v>524</v>
      </c>
    </row>
    <row r="59" spans="1:8" ht="86.25" customHeight="1" x14ac:dyDescent="0.25">
      <c r="A59" s="148" t="s">
        <v>465</v>
      </c>
      <c r="B59" s="148" t="s">
        <v>470</v>
      </c>
      <c r="C59" s="148" t="s">
        <v>656</v>
      </c>
      <c r="D59" s="148" t="s">
        <v>672</v>
      </c>
      <c r="E59" s="148" t="s">
        <v>3441</v>
      </c>
      <c r="F59" s="148" t="s">
        <v>1924</v>
      </c>
      <c r="G59" s="139" t="s">
        <v>1925</v>
      </c>
      <c r="H59" s="139" t="s">
        <v>1926</v>
      </c>
    </row>
    <row r="60" spans="1:8" ht="86.25" customHeight="1" x14ac:dyDescent="0.25">
      <c r="A60" s="148" t="s">
        <v>465</v>
      </c>
      <c r="B60" s="148" t="s">
        <v>471</v>
      </c>
      <c r="C60" s="148" t="s">
        <v>656</v>
      </c>
      <c r="D60" s="148" t="s">
        <v>672</v>
      </c>
      <c r="E60" s="148" t="s">
        <v>3440</v>
      </c>
      <c r="F60" s="148" t="s">
        <v>505</v>
      </c>
      <c r="G60" s="139"/>
      <c r="H60" s="139" t="s">
        <v>524</v>
      </c>
    </row>
    <row r="61" spans="1:8" ht="86.25" customHeight="1" x14ac:dyDescent="0.25">
      <c r="A61" s="148" t="s">
        <v>465</v>
      </c>
      <c r="B61" s="148" t="s">
        <v>472</v>
      </c>
      <c r="C61" s="148" t="s">
        <v>656</v>
      </c>
      <c r="D61" s="148" t="s">
        <v>672</v>
      </c>
      <c r="E61" s="148" t="s">
        <v>3441</v>
      </c>
      <c r="F61" s="148" t="s">
        <v>505</v>
      </c>
      <c r="G61" s="139"/>
      <c r="H61" s="139" t="s">
        <v>524</v>
      </c>
    </row>
    <row r="62" spans="1:8" ht="86.25" customHeight="1" x14ac:dyDescent="0.25">
      <c r="A62" s="148" t="s">
        <v>473</v>
      </c>
      <c r="B62" s="148" t="s">
        <v>474</v>
      </c>
      <c r="C62" s="148" t="s">
        <v>656</v>
      </c>
      <c r="D62" s="148" t="s">
        <v>672</v>
      </c>
      <c r="E62" s="148" t="s">
        <v>3441</v>
      </c>
      <c r="F62" s="148" t="s">
        <v>505</v>
      </c>
      <c r="G62" s="139"/>
      <c r="H62" s="139" t="s">
        <v>524</v>
      </c>
    </row>
    <row r="63" spans="1:8" ht="86.25" customHeight="1" x14ac:dyDescent="0.25">
      <c r="A63" s="148" t="s">
        <v>473</v>
      </c>
      <c r="B63" s="148" t="s">
        <v>475</v>
      </c>
      <c r="C63" s="148" t="s">
        <v>656</v>
      </c>
      <c r="D63" s="148" t="s">
        <v>672</v>
      </c>
      <c r="E63" s="148" t="s">
        <v>3441</v>
      </c>
      <c r="F63" s="148" t="s">
        <v>505</v>
      </c>
      <c r="G63" s="139"/>
      <c r="H63" s="139" t="s">
        <v>524</v>
      </c>
    </row>
    <row r="64" spans="1:8" ht="86.25" customHeight="1" x14ac:dyDescent="0.25">
      <c r="A64" s="148" t="s">
        <v>473</v>
      </c>
      <c r="B64" s="148" t="s">
        <v>476</v>
      </c>
      <c r="C64" s="148" t="s">
        <v>656</v>
      </c>
      <c r="D64" s="148" t="s">
        <v>672</v>
      </c>
      <c r="E64" s="148">
        <v>0</v>
      </c>
      <c r="F64" s="148" t="s">
        <v>505</v>
      </c>
      <c r="G64" s="139"/>
      <c r="H64" s="139" t="s">
        <v>524</v>
      </c>
    </row>
    <row r="65" spans="1:8" ht="86.25" customHeight="1" x14ac:dyDescent="0.25">
      <c r="A65" s="148" t="s">
        <v>473</v>
      </c>
      <c r="B65" s="148" t="s">
        <v>477</v>
      </c>
      <c r="C65" s="148" t="s">
        <v>656</v>
      </c>
      <c r="D65" s="148" t="s">
        <v>672</v>
      </c>
      <c r="E65" s="148" t="s">
        <v>3442</v>
      </c>
      <c r="F65" s="148" t="s">
        <v>506</v>
      </c>
      <c r="G65" s="139" t="s">
        <v>523</v>
      </c>
      <c r="H65" s="139" t="s">
        <v>529</v>
      </c>
    </row>
    <row r="66" spans="1:8" ht="86.25" customHeight="1" x14ac:dyDescent="0.25">
      <c r="A66" s="148" t="s">
        <v>478</v>
      </c>
      <c r="B66" s="148" t="s">
        <v>479</v>
      </c>
      <c r="C66" s="148" t="s">
        <v>656</v>
      </c>
      <c r="D66" s="148" t="s">
        <v>672</v>
      </c>
      <c r="E66" s="148" t="s">
        <v>3442</v>
      </c>
      <c r="F66" s="148" t="s">
        <v>505</v>
      </c>
      <c r="G66" s="139"/>
      <c r="H66" s="139" t="s">
        <v>524</v>
      </c>
    </row>
    <row r="67" spans="1:8" ht="86.25" customHeight="1" x14ac:dyDescent="0.25">
      <c r="A67" s="148" t="s">
        <v>478</v>
      </c>
      <c r="B67" s="148" t="s">
        <v>480</v>
      </c>
      <c r="C67" s="148" t="s">
        <v>656</v>
      </c>
      <c r="D67" s="148" t="s">
        <v>672</v>
      </c>
      <c r="E67" s="148" t="s">
        <v>3442</v>
      </c>
      <c r="F67" s="148" t="s">
        <v>507</v>
      </c>
      <c r="G67" s="139"/>
      <c r="H67" s="139" t="s">
        <v>512</v>
      </c>
    </row>
    <row r="68" spans="1:8" ht="86.25" customHeight="1" x14ac:dyDescent="0.25">
      <c r="A68" s="148" t="s">
        <v>478</v>
      </c>
      <c r="B68" s="148" t="s">
        <v>481</v>
      </c>
      <c r="C68" s="148" t="s">
        <v>656</v>
      </c>
      <c r="D68" s="148" t="s">
        <v>672</v>
      </c>
      <c r="E68" s="148" t="s">
        <v>3442</v>
      </c>
      <c r="F68" s="148" t="s">
        <v>505</v>
      </c>
      <c r="G68" s="139"/>
      <c r="H68" s="139" t="s">
        <v>524</v>
      </c>
    </row>
    <row r="69" spans="1:8" ht="86.25" customHeight="1" x14ac:dyDescent="0.25">
      <c r="A69" s="148" t="s">
        <v>478</v>
      </c>
      <c r="B69" s="148" t="s">
        <v>482</v>
      </c>
      <c r="C69" s="148" t="s">
        <v>656</v>
      </c>
      <c r="D69" s="148" t="s">
        <v>672</v>
      </c>
      <c r="E69" s="148" t="s">
        <v>3442</v>
      </c>
      <c r="F69" s="148" t="s">
        <v>507</v>
      </c>
      <c r="G69" s="139"/>
      <c r="H69" s="139" t="s">
        <v>512</v>
      </c>
    </row>
    <row r="70" spans="1:8" ht="86.25" customHeight="1" x14ac:dyDescent="0.25">
      <c r="A70" s="148" t="s">
        <v>478</v>
      </c>
      <c r="B70" s="148" t="s">
        <v>483</v>
      </c>
      <c r="C70" s="148" t="s">
        <v>656</v>
      </c>
      <c r="D70" s="148" t="s">
        <v>672</v>
      </c>
      <c r="E70" s="148" t="s">
        <v>3443</v>
      </c>
      <c r="F70" s="148" t="s">
        <v>505</v>
      </c>
      <c r="G70" s="139"/>
      <c r="H70" s="139" t="s">
        <v>524</v>
      </c>
    </row>
    <row r="71" spans="1:8" ht="86.25" customHeight="1" x14ac:dyDescent="0.25">
      <c r="A71" s="148" t="s">
        <v>478</v>
      </c>
      <c r="B71" s="148" t="s">
        <v>484</v>
      </c>
      <c r="C71" s="148" t="s">
        <v>656</v>
      </c>
      <c r="D71" s="148" t="s">
        <v>672</v>
      </c>
      <c r="E71" s="148">
        <v>0</v>
      </c>
      <c r="F71" s="148" t="s">
        <v>505</v>
      </c>
      <c r="G71" s="139"/>
      <c r="H71" s="139" t="s">
        <v>524</v>
      </c>
    </row>
    <row r="72" spans="1:8" ht="86.25" customHeight="1" x14ac:dyDescent="0.25">
      <c r="A72" s="148" t="s">
        <v>721</v>
      </c>
      <c r="B72" s="148" t="s">
        <v>721</v>
      </c>
      <c r="C72" s="148" t="s">
        <v>656</v>
      </c>
      <c r="D72" s="148" t="s">
        <v>672</v>
      </c>
      <c r="E72" s="148" t="s">
        <v>3438</v>
      </c>
      <c r="F72" s="148" t="s">
        <v>507</v>
      </c>
      <c r="G72" s="139"/>
      <c r="H72" s="139" t="s">
        <v>512</v>
      </c>
    </row>
    <row r="73" spans="1:8" ht="86.25" customHeight="1" x14ac:dyDescent="0.25">
      <c r="A73" s="148" t="s">
        <v>485</v>
      </c>
      <c r="B73" s="148" t="s">
        <v>486</v>
      </c>
      <c r="C73" s="148" t="s">
        <v>656</v>
      </c>
      <c r="D73" s="148" t="s">
        <v>672</v>
      </c>
      <c r="E73" s="148" t="s">
        <v>3444</v>
      </c>
      <c r="F73" s="148" t="s">
        <v>505</v>
      </c>
      <c r="G73" s="139"/>
      <c r="H73" s="139" t="s">
        <v>524</v>
      </c>
    </row>
    <row r="74" spans="1:8" ht="86.25" customHeight="1" x14ac:dyDescent="0.25">
      <c r="A74" s="148" t="s">
        <v>485</v>
      </c>
      <c r="B74" s="148" t="s">
        <v>487</v>
      </c>
      <c r="C74" s="148" t="s">
        <v>656</v>
      </c>
      <c r="D74" s="148" t="s">
        <v>672</v>
      </c>
      <c r="E74" s="148" t="s">
        <v>3429</v>
      </c>
      <c r="F74" s="148" t="s">
        <v>505</v>
      </c>
      <c r="G74" s="139"/>
      <c r="H74" s="139" t="s">
        <v>524</v>
      </c>
    </row>
    <row r="75" spans="1:8" ht="86.25" customHeight="1" x14ac:dyDescent="0.25">
      <c r="A75" s="148" t="s">
        <v>485</v>
      </c>
      <c r="B75" s="148" t="s">
        <v>488</v>
      </c>
      <c r="C75" s="148" t="s">
        <v>656</v>
      </c>
      <c r="D75" s="148" t="s">
        <v>672</v>
      </c>
      <c r="E75" s="148" t="s">
        <v>3429</v>
      </c>
      <c r="F75" s="148" t="s">
        <v>505</v>
      </c>
      <c r="G75" s="139"/>
      <c r="H75" s="139" t="s">
        <v>524</v>
      </c>
    </row>
    <row r="76" spans="1:8" ht="86.25" customHeight="1" x14ac:dyDescent="0.25">
      <c r="A76" s="148" t="s">
        <v>485</v>
      </c>
      <c r="B76" s="148" t="s">
        <v>489</v>
      </c>
      <c r="C76" s="148" t="s">
        <v>656</v>
      </c>
      <c r="D76" s="148" t="s">
        <v>672</v>
      </c>
      <c r="E76" s="148" t="s">
        <v>3433</v>
      </c>
      <c r="F76" s="148" t="s">
        <v>505</v>
      </c>
      <c r="G76" s="139"/>
      <c r="H76" s="139" t="s">
        <v>524</v>
      </c>
    </row>
    <row r="77" spans="1:8" ht="86.25" customHeight="1" x14ac:dyDescent="0.25">
      <c r="A77" s="148" t="s">
        <v>485</v>
      </c>
      <c r="B77" s="148" t="s">
        <v>490</v>
      </c>
      <c r="C77" s="148" t="s">
        <v>656</v>
      </c>
      <c r="D77" s="148" t="s">
        <v>672</v>
      </c>
      <c r="E77" s="148" t="s">
        <v>3444</v>
      </c>
      <c r="F77" s="148" t="s">
        <v>505</v>
      </c>
      <c r="G77" s="139"/>
      <c r="H77" s="139" t="s">
        <v>524</v>
      </c>
    </row>
    <row r="78" spans="1:8" ht="86.25" customHeight="1" x14ac:dyDescent="0.25">
      <c r="A78" s="148" t="s">
        <v>485</v>
      </c>
      <c r="B78" s="148" t="s">
        <v>667</v>
      </c>
      <c r="C78" s="148" t="s">
        <v>656</v>
      </c>
      <c r="D78" s="148" t="s">
        <v>672</v>
      </c>
      <c r="E78" s="148" t="s">
        <v>3444</v>
      </c>
      <c r="F78" s="148" t="s">
        <v>505</v>
      </c>
      <c r="G78" s="139"/>
      <c r="H78" s="139" t="s">
        <v>524</v>
      </c>
    </row>
    <row r="79" spans="1:8" ht="86.25" customHeight="1" x14ac:dyDescent="0.25">
      <c r="A79" s="148" t="s">
        <v>491</v>
      </c>
      <c r="B79" s="148" t="s">
        <v>492</v>
      </c>
      <c r="C79" s="148" t="s">
        <v>656</v>
      </c>
      <c r="D79" s="148" t="s">
        <v>672</v>
      </c>
      <c r="E79" s="148" t="s">
        <v>3444</v>
      </c>
      <c r="F79" s="148" t="s">
        <v>505</v>
      </c>
      <c r="G79" s="139"/>
      <c r="H79" s="139" t="s">
        <v>524</v>
      </c>
    </row>
    <row r="80" spans="1:8" ht="86.25" customHeight="1" x14ac:dyDescent="0.25">
      <c r="A80" s="148" t="s">
        <v>491</v>
      </c>
      <c r="B80" s="148" t="s">
        <v>487</v>
      </c>
      <c r="C80" s="148" t="s">
        <v>656</v>
      </c>
      <c r="D80" s="148" t="s">
        <v>672</v>
      </c>
      <c r="E80" s="148">
        <v>0</v>
      </c>
      <c r="F80" s="148" t="s">
        <v>505</v>
      </c>
      <c r="G80" s="139"/>
      <c r="H80" s="139" t="s">
        <v>524</v>
      </c>
    </row>
    <row r="81" spans="1:8" ht="86.25" customHeight="1" x14ac:dyDescent="0.25">
      <c r="A81" s="148" t="s">
        <v>493</v>
      </c>
      <c r="B81" s="148" t="s">
        <v>662</v>
      </c>
      <c r="C81" s="148" t="s">
        <v>657</v>
      </c>
      <c r="D81" s="148" t="s">
        <v>673</v>
      </c>
      <c r="E81" s="148">
        <v>0</v>
      </c>
      <c r="F81" s="148" t="s">
        <v>33</v>
      </c>
      <c r="G81" s="139"/>
      <c r="H81" s="139" t="s">
        <v>531</v>
      </c>
    </row>
    <row r="82" spans="1:8" ht="86.25" customHeight="1" x14ac:dyDescent="0.25">
      <c r="A82" s="148" t="s">
        <v>493</v>
      </c>
      <c r="B82" s="148" t="s">
        <v>663</v>
      </c>
      <c r="C82" s="148" t="s">
        <v>657</v>
      </c>
      <c r="D82" s="148" t="s">
        <v>673</v>
      </c>
      <c r="E82" s="148">
        <v>0</v>
      </c>
      <c r="F82" s="148" t="s">
        <v>33</v>
      </c>
      <c r="G82" s="139"/>
      <c r="H82" s="139" t="s">
        <v>531</v>
      </c>
    </row>
    <row r="83" spans="1:8" ht="86.25" customHeight="1" x14ac:dyDescent="0.25">
      <c r="A83" s="148" t="s">
        <v>493</v>
      </c>
      <c r="B83" s="148" t="s">
        <v>664</v>
      </c>
      <c r="C83" s="148" t="s">
        <v>657</v>
      </c>
      <c r="D83" s="148" t="s">
        <v>673</v>
      </c>
      <c r="E83" s="148">
        <v>0</v>
      </c>
      <c r="F83" s="148" t="s">
        <v>33</v>
      </c>
      <c r="G83" s="139"/>
      <c r="H83" s="139" t="s">
        <v>531</v>
      </c>
    </row>
    <row r="84" spans="1:8" ht="86.25" customHeight="1" x14ac:dyDescent="0.25">
      <c r="A84" s="148" t="s">
        <v>493</v>
      </c>
      <c r="B84" s="148" t="s">
        <v>665</v>
      </c>
      <c r="C84" s="148" t="s">
        <v>657</v>
      </c>
      <c r="D84" s="148" t="s">
        <v>673</v>
      </c>
      <c r="E84" s="148">
        <v>0</v>
      </c>
      <c r="F84" s="148" t="s">
        <v>33</v>
      </c>
      <c r="G84" s="139"/>
      <c r="H84" s="139" t="s">
        <v>531</v>
      </c>
    </row>
    <row r="85" spans="1:8" ht="86.25" customHeight="1" x14ac:dyDescent="0.25">
      <c r="A85" s="148" t="s">
        <v>493</v>
      </c>
      <c r="B85" s="148" t="s">
        <v>666</v>
      </c>
      <c r="C85" s="148" t="s">
        <v>657</v>
      </c>
      <c r="D85" s="148" t="s">
        <v>673</v>
      </c>
      <c r="E85" s="148">
        <v>0</v>
      </c>
      <c r="F85" s="148" t="s">
        <v>33</v>
      </c>
      <c r="G85" s="139"/>
      <c r="H85" s="139" t="s">
        <v>531</v>
      </c>
    </row>
    <row r="86" spans="1:8" ht="86.25" customHeight="1" x14ac:dyDescent="0.25">
      <c r="A86" s="148" t="s">
        <v>494</v>
      </c>
      <c r="B86" s="148" t="s">
        <v>495</v>
      </c>
      <c r="C86" s="148" t="s">
        <v>656</v>
      </c>
      <c r="D86" s="148" t="s">
        <v>672</v>
      </c>
      <c r="E86" s="148">
        <v>0</v>
      </c>
      <c r="F86" s="148" t="s">
        <v>507</v>
      </c>
      <c r="G86" s="139"/>
      <c r="H86" s="139" t="s">
        <v>512</v>
      </c>
    </row>
    <row r="87" spans="1:8" ht="86.25" customHeight="1" x14ac:dyDescent="0.25">
      <c r="A87" s="148" t="s">
        <v>494</v>
      </c>
      <c r="B87" s="148" t="s">
        <v>496</v>
      </c>
      <c r="C87" s="148" t="s">
        <v>656</v>
      </c>
      <c r="D87" s="148" t="s">
        <v>672</v>
      </c>
      <c r="E87" s="148">
        <v>0</v>
      </c>
      <c r="F87" s="148" t="s">
        <v>507</v>
      </c>
      <c r="G87" s="139"/>
      <c r="H87" s="139" t="s">
        <v>512</v>
      </c>
    </row>
    <row r="88" spans="1:8" ht="86.25" customHeight="1" x14ac:dyDescent="0.25">
      <c r="A88" s="148" t="s">
        <v>494</v>
      </c>
      <c r="B88" s="148" t="s">
        <v>497</v>
      </c>
      <c r="C88" s="148" t="s">
        <v>656</v>
      </c>
      <c r="D88" s="148" t="s">
        <v>672</v>
      </c>
      <c r="E88" s="148" t="s">
        <v>3439</v>
      </c>
      <c r="F88" s="148" t="s">
        <v>507</v>
      </c>
      <c r="G88" s="139"/>
      <c r="H88" s="139" t="s">
        <v>512</v>
      </c>
    </row>
    <row r="89" spans="1:8" ht="86.25" customHeight="1" x14ac:dyDescent="0.25">
      <c r="A89" s="148" t="s">
        <v>425</v>
      </c>
      <c r="B89" s="148" t="s">
        <v>498</v>
      </c>
      <c r="C89" s="148" t="s">
        <v>656</v>
      </c>
      <c r="D89" s="148" t="s">
        <v>672</v>
      </c>
      <c r="E89" s="148" t="s">
        <v>3445</v>
      </c>
      <c r="F89" s="148" t="s">
        <v>505</v>
      </c>
      <c r="G89" s="139"/>
      <c r="H89" s="139" t="s">
        <v>524</v>
      </c>
    </row>
    <row r="90" spans="1:8" ht="86.25" customHeight="1" x14ac:dyDescent="0.25">
      <c r="A90" s="148" t="s">
        <v>425</v>
      </c>
      <c r="B90" s="148" t="s">
        <v>533</v>
      </c>
      <c r="C90" s="148" t="s">
        <v>656</v>
      </c>
      <c r="D90" s="148" t="s">
        <v>672</v>
      </c>
      <c r="E90" s="148" t="s">
        <v>3445</v>
      </c>
      <c r="F90" s="148" t="s">
        <v>723</v>
      </c>
      <c r="G90" s="139" t="s">
        <v>668</v>
      </c>
      <c r="H90" s="139" t="s">
        <v>551</v>
      </c>
    </row>
    <row r="91" spans="1:8" ht="86.25" customHeight="1" x14ac:dyDescent="0.25">
      <c r="A91" s="148" t="s">
        <v>425</v>
      </c>
      <c r="B91" s="148" t="s">
        <v>499</v>
      </c>
      <c r="C91" s="148" t="s">
        <v>656</v>
      </c>
      <c r="D91" s="148" t="s">
        <v>672</v>
      </c>
      <c r="E91" s="148" t="s">
        <v>3445</v>
      </c>
      <c r="F91" s="148" t="s">
        <v>506</v>
      </c>
      <c r="G91" s="139" t="s">
        <v>530</v>
      </c>
      <c r="H91" s="139" t="s">
        <v>529</v>
      </c>
    </row>
    <row r="92" spans="1:8" ht="86.25" customHeight="1" x14ac:dyDescent="0.25">
      <c r="A92" s="148" t="s">
        <v>425</v>
      </c>
      <c r="B92" s="148" t="s">
        <v>91</v>
      </c>
      <c r="C92" s="148" t="s">
        <v>656</v>
      </c>
      <c r="D92" s="148" t="s">
        <v>672</v>
      </c>
      <c r="E92" s="148" t="s">
        <v>3446</v>
      </c>
      <c r="F92" s="148" t="s">
        <v>722</v>
      </c>
      <c r="G92" s="139" t="s">
        <v>668</v>
      </c>
      <c r="H92" s="139" t="s">
        <v>1951</v>
      </c>
    </row>
    <row r="93" spans="1:8" ht="86.25" customHeight="1" x14ac:dyDescent="0.25">
      <c r="A93" s="148" t="s">
        <v>500</v>
      </c>
      <c r="B93" s="148" t="s">
        <v>903</v>
      </c>
      <c r="C93" s="148" t="s">
        <v>656</v>
      </c>
      <c r="D93" s="148" t="s">
        <v>672</v>
      </c>
      <c r="E93" s="148">
        <v>0</v>
      </c>
      <c r="F93" s="148" t="s">
        <v>505</v>
      </c>
      <c r="G93" s="139"/>
      <c r="H93" s="139" t="s">
        <v>524</v>
      </c>
    </row>
    <row r="94" spans="1:8" ht="86.25" customHeight="1" x14ac:dyDescent="0.25">
      <c r="A94" s="148" t="s">
        <v>500</v>
      </c>
      <c r="B94" s="148" t="s">
        <v>904</v>
      </c>
      <c r="C94" s="148" t="s">
        <v>656</v>
      </c>
      <c r="D94" s="148" t="s">
        <v>672</v>
      </c>
      <c r="E94" s="148">
        <v>0</v>
      </c>
      <c r="F94" s="148" t="s">
        <v>33</v>
      </c>
      <c r="G94" s="139" t="s">
        <v>905</v>
      </c>
      <c r="H94" s="139" t="s">
        <v>531</v>
      </c>
    </row>
    <row r="95" spans="1:8" ht="86.25" customHeight="1" x14ac:dyDescent="0.25">
      <c r="A95" s="148" t="s">
        <v>500</v>
      </c>
      <c r="B95" s="148" t="s">
        <v>501</v>
      </c>
      <c r="C95" s="148" t="s">
        <v>656</v>
      </c>
      <c r="D95" s="148" t="s">
        <v>672</v>
      </c>
      <c r="E95" s="148" t="s">
        <v>3447</v>
      </c>
      <c r="F95" s="148" t="s">
        <v>505</v>
      </c>
      <c r="G95" s="139"/>
      <c r="H95" s="139" t="s">
        <v>524</v>
      </c>
    </row>
    <row r="96" spans="1:8" ht="86.25" customHeight="1" x14ac:dyDescent="0.25">
      <c r="A96" s="148" t="s">
        <v>500</v>
      </c>
      <c r="B96" s="148" t="s">
        <v>502</v>
      </c>
      <c r="C96" s="148" t="s">
        <v>656</v>
      </c>
      <c r="D96" s="148" t="s">
        <v>672</v>
      </c>
      <c r="E96" s="148">
        <v>0</v>
      </c>
      <c r="F96" s="148" t="s">
        <v>505</v>
      </c>
      <c r="G96" s="139"/>
      <c r="H96" s="139" t="s">
        <v>524</v>
      </c>
    </row>
    <row r="97" spans="1:8" ht="86.25" customHeight="1" x14ac:dyDescent="0.25">
      <c r="A97" s="148" t="s">
        <v>500</v>
      </c>
      <c r="B97" s="148" t="s">
        <v>503</v>
      </c>
      <c r="C97" s="148" t="s">
        <v>656</v>
      </c>
      <c r="D97" s="148" t="s">
        <v>672</v>
      </c>
      <c r="E97" s="148" t="s">
        <v>3448</v>
      </c>
      <c r="F97" s="148" t="s">
        <v>505</v>
      </c>
      <c r="G97" s="139"/>
      <c r="H97" s="139" t="s">
        <v>524</v>
      </c>
    </row>
    <row r="98" spans="1:8" ht="86.25" customHeight="1" x14ac:dyDescent="0.25">
      <c r="A98" s="148" t="s">
        <v>2410</v>
      </c>
      <c r="B98" s="148" t="s">
        <v>2386</v>
      </c>
      <c r="C98" s="148" t="s">
        <v>656</v>
      </c>
      <c r="D98" s="148" t="s">
        <v>672</v>
      </c>
      <c r="E98" s="148" t="s">
        <v>3444</v>
      </c>
      <c r="F98" s="148" t="s">
        <v>505</v>
      </c>
      <c r="G98" s="139"/>
      <c r="H98" s="139" t="s">
        <v>2411</v>
      </c>
    </row>
    <row r="99" spans="1:8" ht="86.25" customHeight="1" x14ac:dyDescent="0.25">
      <c r="A99" s="148" t="s">
        <v>2410</v>
      </c>
      <c r="B99" s="148" t="s">
        <v>2409</v>
      </c>
      <c r="C99" s="148" t="s">
        <v>656</v>
      </c>
      <c r="D99" s="148" t="s">
        <v>672</v>
      </c>
      <c r="E99" s="148" t="s">
        <v>3444</v>
      </c>
      <c r="F99" s="148" t="s">
        <v>505</v>
      </c>
      <c r="G99" s="139"/>
      <c r="H99" s="139" t="s">
        <v>524</v>
      </c>
    </row>
    <row r="100" spans="1:8" ht="86.25" customHeight="1" x14ac:dyDescent="0.25">
      <c r="A100" s="148" t="s">
        <v>2410</v>
      </c>
      <c r="B100" s="148" t="s">
        <v>2395</v>
      </c>
      <c r="C100" s="148" t="s">
        <v>656</v>
      </c>
      <c r="D100" s="148" t="s">
        <v>672</v>
      </c>
      <c r="E100" s="148" t="e">
        <v>#N/A</v>
      </c>
      <c r="F100" s="148" t="s">
        <v>505</v>
      </c>
      <c r="G100" s="139"/>
      <c r="H100" s="139" t="s">
        <v>524</v>
      </c>
    </row>
    <row r="101" spans="1:8" ht="86.25" customHeight="1" x14ac:dyDescent="0.25">
      <c r="A101" s="148" t="s">
        <v>2412</v>
      </c>
      <c r="B101" s="148" t="s">
        <v>2492</v>
      </c>
      <c r="C101" s="148" t="s">
        <v>657</v>
      </c>
      <c r="D101" s="148" t="s">
        <v>2413</v>
      </c>
      <c r="E101" s="148" t="e">
        <f>_xlfn.XLOOKUP(B101,[1]Sheet1!$B:$B,[1]Sheet1!$H:$H)</f>
        <v>#N/A</v>
      </c>
      <c r="F101" s="194" t="s">
        <v>2493</v>
      </c>
      <c r="G101" s="139"/>
      <c r="H101" s="139" t="s">
        <v>2414</v>
      </c>
    </row>
  </sheetData>
  <autoFilter ref="A1:H97" xr:uid="{7E906E4B-32C5-495F-9FB4-0CC7F6496A81}"/>
  <pageMargins left="0.7" right="0.7" top="0.75" bottom="0.75" header="0.3" footer="0.3"/>
  <pageSetup paperSize="9" scale="33" fitToHeight="0"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16C5-A3EF-423D-9266-EF68C56A2718}">
  <sheetPr>
    <pageSetUpPr fitToPage="1"/>
  </sheetPr>
  <dimension ref="A1:G92"/>
  <sheetViews>
    <sheetView zoomScale="36" workbookViewId="0">
      <selection activeCell="E29" sqref="E29:G29"/>
    </sheetView>
  </sheetViews>
  <sheetFormatPr defaultRowHeight="15" x14ac:dyDescent="0.25"/>
  <cols>
    <col min="1" max="1" width="67.140625" customWidth="1"/>
    <col min="2" max="2" width="29.5703125" customWidth="1"/>
    <col min="3" max="3" width="58.7109375" customWidth="1"/>
    <col min="4" max="4" width="39" bestFit="1" customWidth="1"/>
    <col min="5" max="5" width="47.140625" customWidth="1"/>
    <col min="6" max="6" width="28.42578125" customWidth="1"/>
    <col min="7" max="7" width="38.85546875" customWidth="1"/>
  </cols>
  <sheetData>
    <row r="1" spans="1:7" x14ac:dyDescent="0.25">
      <c r="A1" s="89" t="s">
        <v>557</v>
      </c>
      <c r="B1" s="94" t="s">
        <v>400</v>
      </c>
    </row>
    <row r="2" spans="1:7" x14ac:dyDescent="0.25">
      <c r="B2" s="5" t="s">
        <v>98</v>
      </c>
    </row>
    <row r="3" spans="1:7" x14ac:dyDescent="0.25">
      <c r="A3" s="1" t="s">
        <v>391</v>
      </c>
      <c r="B3" s="5" t="s">
        <v>392</v>
      </c>
    </row>
    <row r="4" spans="1:7" x14ac:dyDescent="0.25">
      <c r="A4" s="128" t="s">
        <v>395</v>
      </c>
      <c r="B4" s="156" t="s">
        <v>396</v>
      </c>
      <c r="D4" s="1" t="s">
        <v>2001</v>
      </c>
      <c r="E4" s="1" t="s">
        <v>2014</v>
      </c>
    </row>
    <row r="5" spans="1:7" x14ac:dyDescent="0.25">
      <c r="A5" s="157" t="s">
        <v>393</v>
      </c>
      <c r="B5" s="159">
        <v>30000</v>
      </c>
    </row>
    <row r="6" spans="1:7" x14ac:dyDescent="0.25">
      <c r="A6" s="158" t="s">
        <v>394</v>
      </c>
      <c r="B6" s="159">
        <v>60000</v>
      </c>
    </row>
    <row r="7" spans="1:7" ht="30" x14ac:dyDescent="0.25">
      <c r="A7" s="128" t="s">
        <v>558</v>
      </c>
      <c r="B7" s="179" t="s">
        <v>1988</v>
      </c>
      <c r="D7" t="s">
        <v>2166</v>
      </c>
      <c r="E7" t="s">
        <v>2167</v>
      </c>
    </row>
    <row r="9" spans="1:7" x14ac:dyDescent="0.25">
      <c r="A9" t="s">
        <v>397</v>
      </c>
    </row>
    <row r="11" spans="1:7" x14ac:dyDescent="0.25">
      <c r="A11" s="1" t="s">
        <v>401</v>
      </c>
    </row>
    <row r="12" spans="1:7" x14ac:dyDescent="0.25">
      <c r="B12" s="4"/>
      <c r="C12" s="5" t="s">
        <v>407</v>
      </c>
      <c r="D12" s="5" t="s">
        <v>406</v>
      </c>
      <c r="E12" s="1" t="s">
        <v>552</v>
      </c>
      <c r="F12" s="1" t="s">
        <v>555</v>
      </c>
      <c r="G12" s="1" t="s">
        <v>2031</v>
      </c>
    </row>
    <row r="13" spans="1:7" ht="81.75" customHeight="1" x14ac:dyDescent="0.25">
      <c r="A13" s="118" t="s">
        <v>402</v>
      </c>
      <c r="B13" s="118" t="s">
        <v>403</v>
      </c>
      <c r="C13" s="118" t="s">
        <v>554</v>
      </c>
      <c r="D13" s="118" t="s">
        <v>2168</v>
      </c>
      <c r="E13" s="118" t="s">
        <v>641</v>
      </c>
      <c r="F13" s="118" t="s">
        <v>556</v>
      </c>
      <c r="G13" s="160" t="s">
        <v>1991</v>
      </c>
    </row>
    <row r="14" spans="1:7" ht="63" customHeight="1" x14ac:dyDescent="0.25">
      <c r="A14" s="118" t="s">
        <v>404</v>
      </c>
      <c r="B14" s="118" t="s">
        <v>405</v>
      </c>
      <c r="C14" s="118" t="s">
        <v>553</v>
      </c>
      <c r="D14" s="118" t="s">
        <v>2169</v>
      </c>
      <c r="E14" s="118" t="s">
        <v>2170</v>
      </c>
      <c r="F14" s="118" t="s">
        <v>1989</v>
      </c>
      <c r="G14" s="118" t="s">
        <v>1990</v>
      </c>
    </row>
    <row r="18" spans="1:7" ht="18.75" x14ac:dyDescent="0.25">
      <c r="A18" s="92" t="s">
        <v>559</v>
      </c>
    </row>
    <row r="19" spans="1:7" x14ac:dyDescent="0.25">
      <c r="A19" s="91"/>
      <c r="B19" s="2" t="s">
        <v>637</v>
      </c>
      <c r="C19" s="2" t="s">
        <v>638</v>
      </c>
    </row>
    <row r="20" spans="1:7" x14ac:dyDescent="0.25">
      <c r="A20" s="37" t="s">
        <v>635</v>
      </c>
      <c r="B20" s="2" t="s">
        <v>639</v>
      </c>
      <c r="C20" s="2" t="s">
        <v>640</v>
      </c>
    </row>
    <row r="21" spans="1:7" x14ac:dyDescent="0.25">
      <c r="A21" s="37" t="s">
        <v>560</v>
      </c>
    </row>
    <row r="22" spans="1:7" x14ac:dyDescent="0.25">
      <c r="A22" s="93"/>
      <c r="B22" s="95" t="s">
        <v>644</v>
      </c>
      <c r="C22" s="96"/>
    </row>
    <row r="23" spans="1:7" ht="43.5" customHeight="1" x14ac:dyDescent="0.25">
      <c r="A23" s="37" t="s">
        <v>636</v>
      </c>
      <c r="B23" s="97"/>
      <c r="C23" s="98"/>
    </row>
    <row r="24" spans="1:7" x14ac:dyDescent="0.25">
      <c r="A24" s="37" t="s">
        <v>561</v>
      </c>
      <c r="B24" s="97" t="s">
        <v>648</v>
      </c>
      <c r="C24" s="98" t="s">
        <v>649</v>
      </c>
    </row>
    <row r="25" spans="1:7" x14ac:dyDescent="0.25">
      <c r="A25" s="93"/>
      <c r="B25" s="97" t="s">
        <v>645</v>
      </c>
      <c r="C25" s="98" t="s">
        <v>650</v>
      </c>
    </row>
    <row r="26" spans="1:7" x14ac:dyDescent="0.25">
      <c r="A26" s="37" t="s">
        <v>1992</v>
      </c>
      <c r="B26" s="97" t="s">
        <v>646</v>
      </c>
      <c r="C26" s="98" t="s">
        <v>651</v>
      </c>
    </row>
    <row r="27" spans="1:7" x14ac:dyDescent="0.25">
      <c r="A27" s="37" t="s">
        <v>562</v>
      </c>
      <c r="B27" s="99" t="s">
        <v>647</v>
      </c>
      <c r="C27" s="100" t="s">
        <v>652</v>
      </c>
    </row>
    <row r="29" spans="1:7" ht="18.75" x14ac:dyDescent="0.25">
      <c r="A29" s="92" t="s">
        <v>563</v>
      </c>
      <c r="E29" s="195" t="s">
        <v>2496</v>
      </c>
      <c r="F29" s="195"/>
      <c r="G29" s="195"/>
    </row>
    <row r="30" spans="1:7" x14ac:dyDescent="0.25">
      <c r="A30" s="91"/>
    </row>
    <row r="31" spans="1:7" x14ac:dyDescent="0.25">
      <c r="A31" s="10" t="s">
        <v>564</v>
      </c>
    </row>
    <row r="32" spans="1:7" x14ac:dyDescent="0.25">
      <c r="A32" s="10" t="s">
        <v>642</v>
      </c>
    </row>
    <row r="33" spans="1:1" x14ac:dyDescent="0.25">
      <c r="A33" s="10" t="s">
        <v>565</v>
      </c>
    </row>
    <row r="34" spans="1:1" x14ac:dyDescent="0.25">
      <c r="A34" s="10" t="s">
        <v>566</v>
      </c>
    </row>
    <row r="35" spans="1:1" x14ac:dyDescent="0.25">
      <c r="A35" s="10" t="s">
        <v>567</v>
      </c>
    </row>
    <row r="36" spans="1:1" x14ac:dyDescent="0.25">
      <c r="A36" s="91"/>
    </row>
    <row r="37" spans="1:1" x14ac:dyDescent="0.25">
      <c r="A37" s="10" t="s">
        <v>568</v>
      </c>
    </row>
    <row r="38" spans="1:1" x14ac:dyDescent="0.25">
      <c r="A38" s="10" t="s">
        <v>569</v>
      </c>
    </row>
    <row r="39" spans="1:1" x14ac:dyDescent="0.25">
      <c r="A39" s="10" t="s">
        <v>643</v>
      </c>
    </row>
    <row r="40" spans="1:1" x14ac:dyDescent="0.25">
      <c r="A40" s="10" t="s">
        <v>570</v>
      </c>
    </row>
    <row r="41" spans="1:1" x14ac:dyDescent="0.25">
      <c r="A41" s="10" t="s">
        <v>571</v>
      </c>
    </row>
    <row r="42" spans="1:1" x14ac:dyDescent="0.25">
      <c r="A42" s="10" t="s">
        <v>572</v>
      </c>
    </row>
    <row r="43" spans="1:1" x14ac:dyDescent="0.25">
      <c r="A43" s="10" t="s">
        <v>573</v>
      </c>
    </row>
    <row r="44" spans="1:1" x14ac:dyDescent="0.25">
      <c r="A44" s="10" t="s">
        <v>574</v>
      </c>
    </row>
    <row r="45" spans="1:1" x14ac:dyDescent="0.25">
      <c r="A45" s="10" t="s">
        <v>575</v>
      </c>
    </row>
    <row r="46" spans="1:1" x14ac:dyDescent="0.25">
      <c r="A46" s="10" t="s">
        <v>576</v>
      </c>
    </row>
    <row r="47" spans="1:1" x14ac:dyDescent="0.25">
      <c r="A47" s="10" t="s">
        <v>577</v>
      </c>
    </row>
    <row r="48" spans="1:1" x14ac:dyDescent="0.25">
      <c r="A48" s="10" t="s">
        <v>578</v>
      </c>
    </row>
    <row r="49" spans="1:3" x14ac:dyDescent="0.25">
      <c r="A49" s="91"/>
    </row>
    <row r="50" spans="1:3" x14ac:dyDescent="0.25">
      <c r="A50" s="10" t="s">
        <v>579</v>
      </c>
    </row>
    <row r="51" spans="1:3" x14ac:dyDescent="0.25">
      <c r="A51" s="10" t="s">
        <v>580</v>
      </c>
    </row>
    <row r="53" spans="1:3" ht="18.75" x14ac:dyDescent="0.25">
      <c r="A53" s="92" t="s">
        <v>581</v>
      </c>
    </row>
    <row r="54" spans="1:3" x14ac:dyDescent="0.25">
      <c r="A54" s="91"/>
    </row>
    <row r="55" spans="1:3" x14ac:dyDescent="0.25">
      <c r="A55" s="10" t="s">
        <v>582</v>
      </c>
    </row>
    <row r="56" spans="1:3" x14ac:dyDescent="0.25">
      <c r="A56" s="10" t="s">
        <v>653</v>
      </c>
    </row>
    <row r="57" spans="1:3" x14ac:dyDescent="0.25">
      <c r="A57" s="10" t="s">
        <v>583</v>
      </c>
    </row>
    <row r="58" spans="1:3" x14ac:dyDescent="0.25">
      <c r="A58" s="10" t="s">
        <v>584</v>
      </c>
    </row>
    <row r="59" spans="1:3" x14ac:dyDescent="0.25">
      <c r="A59" s="91"/>
    </row>
    <row r="60" spans="1:3" x14ac:dyDescent="0.25">
      <c r="A60" s="10" t="s">
        <v>585</v>
      </c>
    </row>
    <row r="61" spans="1:3" x14ac:dyDescent="0.25">
      <c r="A61" s="10" t="s">
        <v>586</v>
      </c>
    </row>
    <row r="63" spans="1:3" ht="18.75" x14ac:dyDescent="0.25">
      <c r="A63" s="92" t="s">
        <v>587</v>
      </c>
    </row>
    <row r="64" spans="1:3" x14ac:dyDescent="0.25">
      <c r="A64" s="40" t="s">
        <v>0</v>
      </c>
      <c r="B64" s="40" t="s">
        <v>588</v>
      </c>
      <c r="C64" s="37"/>
    </row>
    <row r="65" spans="1:3" ht="42.75" x14ac:dyDescent="0.25">
      <c r="A65" s="161" t="s">
        <v>589</v>
      </c>
      <c r="B65" s="161" t="s">
        <v>590</v>
      </c>
      <c r="C65" s="37"/>
    </row>
    <row r="66" spans="1:3" ht="28.5" x14ac:dyDescent="0.25">
      <c r="A66" s="161" t="s">
        <v>591</v>
      </c>
      <c r="B66" s="161" t="s">
        <v>592</v>
      </c>
      <c r="C66" s="37"/>
    </row>
    <row r="67" spans="1:3" ht="28.5" x14ac:dyDescent="0.25">
      <c r="A67" s="161" t="s">
        <v>593</v>
      </c>
      <c r="B67" s="161" t="s">
        <v>594</v>
      </c>
      <c r="C67" s="37"/>
    </row>
    <row r="68" spans="1:3" ht="28.5" x14ac:dyDescent="0.25">
      <c r="A68" s="161" t="s">
        <v>595</v>
      </c>
      <c r="B68" s="161" t="s">
        <v>594</v>
      </c>
      <c r="C68" s="37"/>
    </row>
    <row r="69" spans="1:3" ht="42.75" x14ac:dyDescent="0.25">
      <c r="A69" s="161" t="s">
        <v>596</v>
      </c>
      <c r="B69" s="161" t="s">
        <v>597</v>
      </c>
      <c r="C69" s="37"/>
    </row>
    <row r="70" spans="1:3" ht="42.75" x14ac:dyDescent="0.25">
      <c r="A70" s="161" t="s">
        <v>598</v>
      </c>
      <c r="B70" s="161" t="s">
        <v>599</v>
      </c>
      <c r="C70" s="37"/>
    </row>
    <row r="71" spans="1:3" x14ac:dyDescent="0.25">
      <c r="A71" s="161" t="s">
        <v>600</v>
      </c>
      <c r="B71" s="161" t="s">
        <v>601</v>
      </c>
      <c r="C71" s="37"/>
    </row>
    <row r="72" spans="1:3" ht="28.5" x14ac:dyDescent="0.25">
      <c r="A72" s="161" t="s">
        <v>602</v>
      </c>
      <c r="B72" s="161" t="s">
        <v>603</v>
      </c>
      <c r="C72" s="37"/>
    </row>
    <row r="73" spans="1:3" ht="28.5" x14ac:dyDescent="0.25">
      <c r="A73" s="161" t="s">
        <v>604</v>
      </c>
      <c r="B73" s="161" t="s">
        <v>605</v>
      </c>
      <c r="C73" s="37"/>
    </row>
    <row r="74" spans="1:3" ht="18.75" x14ac:dyDescent="0.25">
      <c r="A74" s="92" t="s">
        <v>606</v>
      </c>
    </row>
    <row r="75" spans="1:3" x14ac:dyDescent="0.25">
      <c r="A75" s="91"/>
    </row>
    <row r="76" spans="1:3" x14ac:dyDescent="0.25">
      <c r="A76" s="10" t="s">
        <v>654</v>
      </c>
    </row>
    <row r="77" spans="1:3" x14ac:dyDescent="0.25">
      <c r="A77" s="10" t="s">
        <v>607</v>
      </c>
    </row>
    <row r="78" spans="1:3" x14ac:dyDescent="0.25">
      <c r="A78" s="91"/>
    </row>
    <row r="79" spans="1:3" x14ac:dyDescent="0.25">
      <c r="A79" s="10" t="s">
        <v>608</v>
      </c>
    </row>
    <row r="80" spans="1:3" x14ac:dyDescent="0.25">
      <c r="A80" s="10" t="s">
        <v>609</v>
      </c>
    </row>
    <row r="82" spans="1:3" ht="18.75" x14ac:dyDescent="0.25">
      <c r="A82" s="92" t="s">
        <v>610</v>
      </c>
    </row>
    <row r="83" spans="1:3" s="1" customFormat="1" x14ac:dyDescent="0.25">
      <c r="A83" s="40" t="s">
        <v>611</v>
      </c>
      <c r="B83" s="40" t="s">
        <v>612</v>
      </c>
      <c r="C83" s="40" t="s">
        <v>613</v>
      </c>
    </row>
    <row r="84" spans="1:3" x14ac:dyDescent="0.25">
      <c r="A84" s="161" t="s">
        <v>614</v>
      </c>
      <c r="B84" s="161" t="s">
        <v>615</v>
      </c>
      <c r="C84" s="161" t="s">
        <v>616</v>
      </c>
    </row>
    <row r="85" spans="1:3" x14ac:dyDescent="0.25">
      <c r="A85" s="161" t="s">
        <v>617</v>
      </c>
      <c r="B85" s="161" t="s">
        <v>615</v>
      </c>
      <c r="C85" s="161" t="s">
        <v>618</v>
      </c>
    </row>
    <row r="86" spans="1:3" x14ac:dyDescent="0.25">
      <c r="A86" s="161" t="s">
        <v>619</v>
      </c>
      <c r="B86" s="161" t="s">
        <v>615</v>
      </c>
      <c r="C86" s="161" t="s">
        <v>620</v>
      </c>
    </row>
    <row r="87" spans="1:3" x14ac:dyDescent="0.25">
      <c r="A87" s="161" t="s">
        <v>621</v>
      </c>
      <c r="B87" s="161" t="s">
        <v>622</v>
      </c>
      <c r="C87" s="161" t="s">
        <v>623</v>
      </c>
    </row>
    <row r="88" spans="1:3" x14ac:dyDescent="0.25">
      <c r="A88" s="161" t="s">
        <v>624</v>
      </c>
      <c r="B88" s="161" t="s">
        <v>615</v>
      </c>
      <c r="C88" s="161" t="s">
        <v>625</v>
      </c>
    </row>
    <row r="89" spans="1:3" x14ac:dyDescent="0.25">
      <c r="A89" s="161" t="s">
        <v>626</v>
      </c>
      <c r="B89" s="161" t="s">
        <v>627</v>
      </c>
      <c r="C89" s="161" t="s">
        <v>628</v>
      </c>
    </row>
    <row r="90" spans="1:3" x14ac:dyDescent="0.25">
      <c r="A90" s="161" t="s">
        <v>629</v>
      </c>
      <c r="B90" s="161" t="s">
        <v>630</v>
      </c>
      <c r="C90" s="161" t="s">
        <v>631</v>
      </c>
    </row>
    <row r="91" spans="1:3" x14ac:dyDescent="0.25">
      <c r="A91" s="161" t="s">
        <v>632</v>
      </c>
      <c r="B91" s="161" t="s">
        <v>633</v>
      </c>
      <c r="C91" s="161" t="s">
        <v>634</v>
      </c>
    </row>
    <row r="92" spans="1:3" x14ac:dyDescent="0.25">
      <c r="A92" s="10"/>
    </row>
  </sheetData>
  <pageMargins left="0.25" right="0.25" top="0.75" bottom="0.75" header="0.3" footer="0.3"/>
  <pageSetup paperSize="9" scale="32" fitToHeight="0"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236F0-59F1-49B7-8738-4FC4D4411CC6}">
  <sheetPr>
    <pageSetUpPr fitToPage="1"/>
  </sheetPr>
  <dimension ref="A1:I62"/>
  <sheetViews>
    <sheetView zoomScale="63" workbookViewId="0">
      <selection activeCell="A4" sqref="A4"/>
    </sheetView>
  </sheetViews>
  <sheetFormatPr defaultRowHeight="15" x14ac:dyDescent="0.25"/>
  <cols>
    <col min="1" max="1" width="17.5703125" customWidth="1"/>
    <col min="2" max="2" width="30.28515625" customWidth="1"/>
    <col min="3" max="3" width="31.7109375" bestFit="1" customWidth="1"/>
    <col min="4" max="4" width="32.5703125" customWidth="1"/>
    <col min="5" max="5" width="44.7109375" customWidth="1"/>
    <col min="6" max="6" width="40.85546875" customWidth="1"/>
    <col min="7" max="7" width="38.28515625" customWidth="1"/>
    <col min="8" max="8" width="59.28515625" customWidth="1"/>
  </cols>
  <sheetData>
    <row r="1" spans="1:9" ht="24" x14ac:dyDescent="0.4">
      <c r="A1" s="236" t="s">
        <v>53</v>
      </c>
      <c r="B1" s="236"/>
      <c r="C1" s="236"/>
    </row>
    <row r="2" spans="1:9" x14ac:dyDescent="0.25">
      <c r="A2" t="s">
        <v>725</v>
      </c>
    </row>
    <row r="3" spans="1:9" x14ac:dyDescent="0.25">
      <c r="A3" s="1" t="s">
        <v>2624</v>
      </c>
      <c r="D3" s="1"/>
      <c r="F3" s="1"/>
    </row>
    <row r="5" spans="1:9" x14ac:dyDescent="0.25">
      <c r="A5" s="2" t="s">
        <v>2415</v>
      </c>
    </row>
    <row r="7" spans="1:9" x14ac:dyDescent="0.25">
      <c r="A7" s="1" t="s">
        <v>269</v>
      </c>
      <c r="B7" s="1" t="s">
        <v>1</v>
      </c>
      <c r="C7" s="1" t="s">
        <v>25</v>
      </c>
      <c r="D7" s="1" t="s">
        <v>286</v>
      </c>
      <c r="E7" s="1" t="s">
        <v>118</v>
      </c>
      <c r="F7" s="1" t="s">
        <v>24</v>
      </c>
      <c r="G7" s="1" t="s">
        <v>2053</v>
      </c>
      <c r="H7" s="1" t="s">
        <v>2031</v>
      </c>
      <c r="I7" s="1"/>
    </row>
    <row r="8" spans="1:9" s="116" customFormat="1" ht="105" customHeight="1" x14ac:dyDescent="0.25">
      <c r="A8" s="234" t="s">
        <v>267</v>
      </c>
      <c r="B8" s="139" t="s">
        <v>270</v>
      </c>
      <c r="C8" s="139" t="s">
        <v>277</v>
      </c>
      <c r="D8" s="178" t="s">
        <v>2171</v>
      </c>
      <c r="E8" s="161" t="s">
        <v>2045</v>
      </c>
      <c r="F8" s="170" t="s">
        <v>2059</v>
      </c>
      <c r="G8" s="139" t="s">
        <v>2046</v>
      </c>
      <c r="H8" s="118" t="s">
        <v>2117</v>
      </c>
    </row>
    <row r="9" spans="1:9" s="116" customFormat="1" ht="69.75" customHeight="1" x14ac:dyDescent="0.25">
      <c r="A9" s="234"/>
      <c r="B9" s="139" t="s">
        <v>271</v>
      </c>
      <c r="C9" s="139" t="s">
        <v>278</v>
      </c>
      <c r="D9" s="178" t="s">
        <v>283</v>
      </c>
      <c r="E9" s="161" t="s">
        <v>2039</v>
      </c>
      <c r="F9" s="170" t="s">
        <v>2054</v>
      </c>
      <c r="G9" s="139" t="s">
        <v>2047</v>
      </c>
      <c r="H9" s="118" t="s">
        <v>2118</v>
      </c>
    </row>
    <row r="10" spans="1:9" s="116" customFormat="1" ht="87" customHeight="1" x14ac:dyDescent="0.25">
      <c r="A10" s="234"/>
      <c r="B10" s="139" t="s">
        <v>272</v>
      </c>
      <c r="C10" s="139" t="s">
        <v>279</v>
      </c>
      <c r="D10" s="178" t="s">
        <v>2171</v>
      </c>
      <c r="E10" s="161" t="s">
        <v>2040</v>
      </c>
      <c r="F10" s="170" t="s">
        <v>2060</v>
      </c>
      <c r="G10" s="139" t="s">
        <v>2048</v>
      </c>
      <c r="H10" s="118" t="s">
        <v>2038</v>
      </c>
    </row>
    <row r="11" spans="1:9" s="116" customFormat="1" ht="50.25" customHeight="1" x14ac:dyDescent="0.25">
      <c r="A11" s="234"/>
      <c r="B11" s="139" t="s">
        <v>273</v>
      </c>
      <c r="C11" s="139" t="s">
        <v>280</v>
      </c>
      <c r="D11" s="178" t="s">
        <v>284</v>
      </c>
      <c r="E11" s="161" t="s">
        <v>2041</v>
      </c>
      <c r="F11" s="170" t="s">
        <v>2055</v>
      </c>
      <c r="G11" s="139" t="s">
        <v>2049</v>
      </c>
      <c r="H11" s="118" t="s">
        <v>288</v>
      </c>
    </row>
    <row r="12" spans="1:9" s="116" customFormat="1" ht="50.25" customHeight="1" x14ac:dyDescent="0.25">
      <c r="A12" s="234"/>
      <c r="B12" s="139" t="s">
        <v>274</v>
      </c>
      <c r="C12" s="139" t="s">
        <v>281</v>
      </c>
      <c r="D12" s="178" t="s">
        <v>285</v>
      </c>
      <c r="E12" s="161" t="s">
        <v>2042</v>
      </c>
      <c r="F12" s="170" t="s">
        <v>2056</v>
      </c>
      <c r="G12" s="139" t="s">
        <v>2050</v>
      </c>
      <c r="H12" s="118" t="s">
        <v>289</v>
      </c>
    </row>
    <row r="13" spans="1:9" s="116" customFormat="1" ht="66" customHeight="1" x14ac:dyDescent="0.25">
      <c r="A13" s="235" t="s">
        <v>268</v>
      </c>
      <c r="B13" s="139" t="s">
        <v>275</v>
      </c>
      <c r="C13" s="139" t="s">
        <v>282</v>
      </c>
      <c r="D13" s="178" t="s">
        <v>287</v>
      </c>
      <c r="E13" s="161" t="s">
        <v>2043</v>
      </c>
      <c r="F13" s="170" t="s">
        <v>2057</v>
      </c>
      <c r="G13" s="139" t="s">
        <v>2051</v>
      </c>
      <c r="H13" s="118" t="s">
        <v>290</v>
      </c>
    </row>
    <row r="14" spans="1:9" s="116" customFormat="1" ht="46.5" customHeight="1" x14ac:dyDescent="0.25">
      <c r="A14" s="235"/>
      <c r="B14" s="139" t="s">
        <v>276</v>
      </c>
      <c r="C14" s="139" t="s">
        <v>279</v>
      </c>
      <c r="D14" s="178" t="s">
        <v>287</v>
      </c>
      <c r="E14" s="161" t="s">
        <v>2044</v>
      </c>
      <c r="F14" s="170" t="s">
        <v>2058</v>
      </c>
      <c r="G14" s="139" t="s">
        <v>2052</v>
      </c>
      <c r="H14" s="118" t="s">
        <v>291</v>
      </c>
    </row>
    <row r="16" spans="1:9" ht="23.25" x14ac:dyDescent="0.25">
      <c r="A16" s="237" t="s">
        <v>2061</v>
      </c>
      <c r="B16" s="237"/>
      <c r="C16" s="237"/>
      <c r="D16" s="237"/>
      <c r="E16" s="237"/>
      <c r="F16" s="237"/>
    </row>
    <row r="19" spans="1:5" ht="17.25" x14ac:dyDescent="0.25">
      <c r="A19" s="51" t="s">
        <v>2062</v>
      </c>
      <c r="E19" s="51" t="s">
        <v>2083</v>
      </c>
    </row>
    <row r="20" spans="1:5" ht="45.75" customHeight="1" x14ac:dyDescent="0.25">
      <c r="A20" s="238" t="s">
        <v>2063</v>
      </c>
      <c r="B20" s="238"/>
      <c r="C20" s="238"/>
      <c r="E20" s="171" t="s">
        <v>2084</v>
      </c>
    </row>
    <row r="21" spans="1:5" x14ac:dyDescent="0.25">
      <c r="A21" s="91"/>
      <c r="E21" s="91"/>
    </row>
    <row r="22" spans="1:5" x14ac:dyDescent="0.25">
      <c r="A22" s="10" t="s">
        <v>2064</v>
      </c>
      <c r="E22" s="10" t="s">
        <v>2085</v>
      </c>
    </row>
    <row r="23" spans="1:5" x14ac:dyDescent="0.25">
      <c r="A23" s="10" t="s">
        <v>2065</v>
      </c>
      <c r="E23" s="10" t="s">
        <v>2086</v>
      </c>
    </row>
    <row r="24" spans="1:5" x14ac:dyDescent="0.25">
      <c r="A24" s="10" t="s">
        <v>2066</v>
      </c>
      <c r="E24" s="10" t="s">
        <v>2087</v>
      </c>
    </row>
    <row r="25" spans="1:5" x14ac:dyDescent="0.25">
      <c r="A25" s="10" t="s">
        <v>2067</v>
      </c>
      <c r="E25" s="10" t="s">
        <v>2088</v>
      </c>
    </row>
    <row r="26" spans="1:5" x14ac:dyDescent="0.25">
      <c r="A26" s="10" t="s">
        <v>2068</v>
      </c>
      <c r="E26" s="91"/>
    </row>
    <row r="27" spans="1:5" x14ac:dyDescent="0.25">
      <c r="A27" s="91"/>
      <c r="E27" s="10" t="s">
        <v>2089</v>
      </c>
    </row>
    <row r="28" spans="1:5" x14ac:dyDescent="0.25">
      <c r="A28" s="10" t="s">
        <v>2069</v>
      </c>
      <c r="E28" s="10" t="s">
        <v>2090</v>
      </c>
    </row>
    <row r="29" spans="1:5" ht="17.25" x14ac:dyDescent="0.25">
      <c r="A29" s="51" t="s">
        <v>2070</v>
      </c>
      <c r="E29" s="10" t="s">
        <v>2091</v>
      </c>
    </row>
    <row r="30" spans="1:5" x14ac:dyDescent="0.25">
      <c r="A30" s="10" t="s">
        <v>2071</v>
      </c>
      <c r="E30" s="10" t="s">
        <v>2092</v>
      </c>
    </row>
    <row r="31" spans="1:5" x14ac:dyDescent="0.25">
      <c r="A31" s="91"/>
      <c r="E31" s="91"/>
    </row>
    <row r="32" spans="1:5" x14ac:dyDescent="0.25">
      <c r="A32" s="10" t="s">
        <v>2064</v>
      </c>
      <c r="E32" s="10" t="s">
        <v>2093</v>
      </c>
    </row>
    <row r="33" spans="1:5" ht="17.25" x14ac:dyDescent="0.25">
      <c r="A33" s="10" t="s">
        <v>2072</v>
      </c>
      <c r="E33" s="51" t="s">
        <v>2094</v>
      </c>
    </row>
    <row r="34" spans="1:5" x14ac:dyDescent="0.25">
      <c r="A34" s="10" t="s">
        <v>2073</v>
      </c>
      <c r="E34" s="10" t="s">
        <v>2095</v>
      </c>
    </row>
    <row r="35" spans="1:5" x14ac:dyDescent="0.25">
      <c r="A35" s="10" t="s">
        <v>2074</v>
      </c>
      <c r="E35" s="91"/>
    </row>
    <row r="36" spans="1:5" x14ac:dyDescent="0.25">
      <c r="A36" s="91"/>
      <c r="E36" s="10" t="s">
        <v>2096</v>
      </c>
    </row>
    <row r="37" spans="1:5" x14ac:dyDescent="0.25">
      <c r="A37" s="10" t="s">
        <v>2075</v>
      </c>
      <c r="E37" s="10" t="s">
        <v>2097</v>
      </c>
    </row>
    <row r="38" spans="1:5" ht="17.25" x14ac:dyDescent="0.25">
      <c r="A38" s="51" t="s">
        <v>2076</v>
      </c>
      <c r="E38" s="10" t="s">
        <v>2098</v>
      </c>
    </row>
    <row r="39" spans="1:5" x14ac:dyDescent="0.25">
      <c r="A39" s="10" t="s">
        <v>2077</v>
      </c>
      <c r="E39" s="10" t="s">
        <v>2099</v>
      </c>
    </row>
    <row r="40" spans="1:5" x14ac:dyDescent="0.25">
      <c r="A40" s="91"/>
      <c r="E40" s="91"/>
    </row>
    <row r="41" spans="1:5" x14ac:dyDescent="0.25">
      <c r="A41" s="10" t="s">
        <v>2064</v>
      </c>
      <c r="E41" s="10" t="s">
        <v>2100</v>
      </c>
    </row>
    <row r="42" spans="1:5" x14ac:dyDescent="0.25">
      <c r="A42" s="10" t="s">
        <v>2078</v>
      </c>
      <c r="E42" s="10" t="s">
        <v>2101</v>
      </c>
    </row>
    <row r="43" spans="1:5" x14ac:dyDescent="0.25">
      <c r="A43" s="10" t="s">
        <v>2079</v>
      </c>
      <c r="E43" s="10" t="s">
        <v>2102</v>
      </c>
    </row>
    <row r="44" spans="1:5" x14ac:dyDescent="0.25">
      <c r="A44" s="10" t="s">
        <v>2080</v>
      </c>
      <c r="E44" s="10" t="s">
        <v>2103</v>
      </c>
    </row>
    <row r="45" spans="1:5" x14ac:dyDescent="0.25">
      <c r="A45" s="10" t="s">
        <v>2081</v>
      </c>
      <c r="E45" s="91"/>
    </row>
    <row r="46" spans="1:5" x14ac:dyDescent="0.25">
      <c r="A46" s="91"/>
      <c r="E46" s="10" t="s">
        <v>2104</v>
      </c>
    </row>
    <row r="47" spans="1:5" ht="17.25" x14ac:dyDescent="0.25">
      <c r="A47" s="10" t="s">
        <v>2082</v>
      </c>
      <c r="E47" s="51" t="s">
        <v>2105</v>
      </c>
    </row>
    <row r="48" spans="1:5" x14ac:dyDescent="0.25">
      <c r="E48" s="10" t="s">
        <v>2106</v>
      </c>
    </row>
    <row r="49" spans="1:5" ht="17.25" x14ac:dyDescent="0.25">
      <c r="A49" s="51" t="s">
        <v>2110</v>
      </c>
      <c r="E49" s="91"/>
    </row>
    <row r="50" spans="1:5" x14ac:dyDescent="0.25">
      <c r="A50" s="10" t="s">
        <v>2111</v>
      </c>
      <c r="E50" s="10" t="s">
        <v>2064</v>
      </c>
    </row>
    <row r="51" spans="1:5" x14ac:dyDescent="0.25">
      <c r="A51" s="91"/>
      <c r="E51" s="10" t="s">
        <v>2107</v>
      </c>
    </row>
    <row r="52" spans="1:5" x14ac:dyDescent="0.25">
      <c r="A52" s="10" t="s">
        <v>2064</v>
      </c>
      <c r="E52" s="10" t="s">
        <v>2108</v>
      </c>
    </row>
    <row r="53" spans="1:5" x14ac:dyDescent="0.25">
      <c r="A53" s="10" t="s">
        <v>2112</v>
      </c>
      <c r="E53" s="91"/>
    </row>
    <row r="54" spans="1:5" x14ac:dyDescent="0.25">
      <c r="A54" s="10" t="s">
        <v>2113</v>
      </c>
      <c r="E54" s="10" t="s">
        <v>2109</v>
      </c>
    </row>
    <row r="55" spans="1:5" x14ac:dyDescent="0.25">
      <c r="A55" s="10" t="s">
        <v>2114</v>
      </c>
    </row>
    <row r="56" spans="1:5" x14ac:dyDescent="0.25">
      <c r="A56" s="10" t="s">
        <v>2115</v>
      </c>
    </row>
    <row r="57" spans="1:5" x14ac:dyDescent="0.25">
      <c r="A57" s="91"/>
    </row>
    <row r="58" spans="1:5" x14ac:dyDescent="0.25">
      <c r="A58" s="10" t="s">
        <v>2116</v>
      </c>
    </row>
    <row r="59" spans="1:5" x14ac:dyDescent="0.25">
      <c r="E59" s="10"/>
    </row>
    <row r="60" spans="1:5" x14ac:dyDescent="0.25">
      <c r="E60" s="10"/>
    </row>
    <row r="61" spans="1:5" x14ac:dyDescent="0.25">
      <c r="E61" s="91"/>
    </row>
    <row r="62" spans="1:5" x14ac:dyDescent="0.25">
      <c r="E62" s="10"/>
    </row>
  </sheetData>
  <mergeCells count="5">
    <mergeCell ref="A8:A12"/>
    <mergeCell ref="A13:A14"/>
    <mergeCell ref="A1:C1"/>
    <mergeCell ref="A16:F16"/>
    <mergeCell ref="A20:C20"/>
  </mergeCells>
  <pageMargins left="0.7" right="0.7" top="0.75" bottom="0.75" header="0.3" footer="0.3"/>
  <pageSetup paperSize="9" scale="35"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37B92-E78D-4600-A37B-E43A10121B0F}">
  <sheetPr>
    <pageSetUpPr fitToPage="1"/>
  </sheetPr>
  <dimension ref="A1:J12"/>
  <sheetViews>
    <sheetView topLeftCell="A8" zoomScale="60" workbookViewId="0">
      <selection activeCell="J11" sqref="A1:J12"/>
    </sheetView>
  </sheetViews>
  <sheetFormatPr defaultRowHeight="15" x14ac:dyDescent="0.25"/>
  <cols>
    <col min="1" max="5" width="24.7109375" customWidth="1"/>
    <col min="6" max="6" width="24" customWidth="1"/>
    <col min="7" max="7" width="45.42578125" customWidth="1"/>
    <col min="8" max="8" width="62.28515625" customWidth="1"/>
    <col min="9" max="10" width="42.85546875" customWidth="1"/>
  </cols>
  <sheetData>
    <row r="1" spans="1:10" ht="18.75" x14ac:dyDescent="0.25">
      <c r="A1" s="92" t="s">
        <v>2123</v>
      </c>
    </row>
    <row r="3" spans="1:10" ht="31.5" customHeight="1" thickBot="1" x14ac:dyDescent="0.3">
      <c r="A3" s="239" t="s">
        <v>2416</v>
      </c>
      <c r="B3" s="239"/>
      <c r="C3" s="239"/>
      <c r="D3" s="239"/>
      <c r="E3" s="239"/>
      <c r="F3" s="239"/>
    </row>
    <row r="4" spans="1:10" s="1" customFormat="1" ht="28.5" x14ac:dyDescent="0.25">
      <c r="A4" s="172" t="s">
        <v>2124</v>
      </c>
      <c r="B4" s="173" t="s">
        <v>2125</v>
      </c>
      <c r="C4" s="173" t="s">
        <v>2126</v>
      </c>
      <c r="D4" s="173" t="s">
        <v>45</v>
      </c>
      <c r="E4" s="174" t="s">
        <v>2152</v>
      </c>
      <c r="F4" s="175" t="s">
        <v>2153</v>
      </c>
      <c r="G4" s="175" t="s">
        <v>2417</v>
      </c>
      <c r="H4" s="175" t="s">
        <v>2418</v>
      </c>
      <c r="I4" s="175" t="s">
        <v>2419</v>
      </c>
      <c r="J4" s="175" t="s">
        <v>2442</v>
      </c>
    </row>
    <row r="5" spans="1:10" ht="231.75" customHeight="1" x14ac:dyDescent="0.25">
      <c r="A5" s="161" t="s">
        <v>2127</v>
      </c>
      <c r="B5" s="161" t="s">
        <v>2128</v>
      </c>
      <c r="C5" s="161" t="s">
        <v>2129</v>
      </c>
      <c r="D5" s="161" t="s">
        <v>2130</v>
      </c>
      <c r="E5" s="177" t="s">
        <v>2155</v>
      </c>
      <c r="F5" s="161" t="s">
        <v>2154</v>
      </c>
      <c r="G5" s="161" t="s">
        <v>2420</v>
      </c>
      <c r="H5" s="161" t="s">
        <v>2421</v>
      </c>
      <c r="I5" s="161" t="s">
        <v>2422</v>
      </c>
      <c r="J5" s="161" t="s">
        <v>101</v>
      </c>
    </row>
    <row r="6" spans="1:10" ht="147" customHeight="1" x14ac:dyDescent="0.25">
      <c r="A6" s="161" t="s">
        <v>2131</v>
      </c>
      <c r="B6" s="161" t="s">
        <v>2094</v>
      </c>
      <c r="C6" s="161" t="s">
        <v>2132</v>
      </c>
      <c r="D6" s="161" t="s">
        <v>2133</v>
      </c>
      <c r="E6" s="177" t="s">
        <v>2156</v>
      </c>
      <c r="F6" s="161" t="s">
        <v>2157</v>
      </c>
      <c r="G6" s="161" t="s">
        <v>2423</v>
      </c>
      <c r="H6" s="161" t="s">
        <v>2424</v>
      </c>
      <c r="I6" s="161" t="s">
        <v>2425</v>
      </c>
      <c r="J6" s="161" t="s">
        <v>2443</v>
      </c>
    </row>
    <row r="7" spans="1:10" ht="147" customHeight="1" x14ac:dyDescent="0.25">
      <c r="A7" s="161" t="s">
        <v>2134</v>
      </c>
      <c r="B7" s="161" t="s">
        <v>2135</v>
      </c>
      <c r="C7" s="161" t="s">
        <v>2136</v>
      </c>
      <c r="D7" s="161" t="s">
        <v>2137</v>
      </c>
      <c r="E7" s="177" t="s">
        <v>2158</v>
      </c>
      <c r="F7" s="161" t="s">
        <v>2159</v>
      </c>
      <c r="G7" s="161" t="s">
        <v>2426</v>
      </c>
      <c r="H7" s="161" t="s">
        <v>2427</v>
      </c>
      <c r="I7" s="161" t="s">
        <v>2428</v>
      </c>
      <c r="J7" s="161" t="s">
        <v>2443</v>
      </c>
    </row>
    <row r="8" spans="1:10" ht="98.25" customHeight="1" x14ac:dyDescent="0.25">
      <c r="A8" s="161" t="s">
        <v>2138</v>
      </c>
      <c r="B8" s="161" t="s">
        <v>2139</v>
      </c>
      <c r="C8" s="161" t="s">
        <v>2140</v>
      </c>
      <c r="D8" s="161" t="s">
        <v>2141</v>
      </c>
      <c r="E8" s="177" t="s">
        <v>2160</v>
      </c>
      <c r="F8" s="161" t="s">
        <v>277</v>
      </c>
      <c r="G8" s="161" t="s">
        <v>2429</v>
      </c>
      <c r="H8" s="161" t="s">
        <v>2430</v>
      </c>
      <c r="I8" s="161" t="s">
        <v>2431</v>
      </c>
      <c r="J8" s="161" t="s">
        <v>101</v>
      </c>
    </row>
    <row r="9" spans="1:10" ht="98.25" customHeight="1" x14ac:dyDescent="0.25">
      <c r="A9" s="161" t="s">
        <v>2142</v>
      </c>
      <c r="B9" s="161" t="s">
        <v>2070</v>
      </c>
      <c r="C9" s="161" t="s">
        <v>2143</v>
      </c>
      <c r="D9" s="161" t="s">
        <v>2144</v>
      </c>
      <c r="E9" s="177" t="s">
        <v>2161</v>
      </c>
      <c r="F9" s="176" t="s">
        <v>2162</v>
      </c>
      <c r="G9" s="176" t="s">
        <v>2432</v>
      </c>
      <c r="H9" s="176" t="s">
        <v>2433</v>
      </c>
      <c r="I9" s="176" t="s">
        <v>2434</v>
      </c>
      <c r="J9" s="176" t="s">
        <v>101</v>
      </c>
    </row>
    <row r="10" spans="1:10" ht="98.25" customHeight="1" x14ac:dyDescent="0.25">
      <c r="A10" s="161" t="s">
        <v>2145</v>
      </c>
      <c r="B10" s="161" t="s">
        <v>2146</v>
      </c>
      <c r="C10" s="161" t="s">
        <v>2147</v>
      </c>
      <c r="D10" s="161" t="s">
        <v>2148</v>
      </c>
      <c r="E10" s="177" t="s">
        <v>2163</v>
      </c>
      <c r="F10" s="161" t="s">
        <v>2164</v>
      </c>
      <c r="G10" s="161" t="s">
        <v>2435</v>
      </c>
      <c r="H10" s="161" t="s">
        <v>2436</v>
      </c>
      <c r="I10" s="161" t="s">
        <v>2437</v>
      </c>
      <c r="J10" s="161" t="s">
        <v>2443</v>
      </c>
    </row>
    <row r="11" spans="1:10" ht="98.25" customHeight="1" x14ac:dyDescent="0.25">
      <c r="A11" s="161" t="s">
        <v>2149</v>
      </c>
      <c r="B11" s="161" t="s">
        <v>2110</v>
      </c>
      <c r="C11" s="161" t="s">
        <v>2150</v>
      </c>
      <c r="D11" s="161" t="s">
        <v>2151</v>
      </c>
      <c r="E11" s="177" t="s">
        <v>2165</v>
      </c>
      <c r="F11" s="176" t="s">
        <v>279</v>
      </c>
      <c r="G11" s="176" t="s">
        <v>2438</v>
      </c>
      <c r="H11" s="176" t="s">
        <v>2439</v>
      </c>
      <c r="I11" s="176" t="s">
        <v>2440</v>
      </c>
      <c r="J11" s="176" t="s">
        <v>2443</v>
      </c>
    </row>
    <row r="12" spans="1:10" x14ac:dyDescent="0.25">
      <c r="A12" s="10"/>
    </row>
  </sheetData>
  <mergeCells count="1">
    <mergeCell ref="A3:F3"/>
  </mergeCells>
  <pageMargins left="0.7" right="0.7" top="0.75" bottom="0.75" header="0.3" footer="0.3"/>
  <pageSetup paperSize="9" scale="25"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0972D-2850-49BE-B018-C496485286AD}">
  <dimension ref="A1:G49"/>
  <sheetViews>
    <sheetView zoomScale="80" zoomScaleNormal="115" workbookViewId="0">
      <selection activeCell="E29" sqref="E29:G29"/>
    </sheetView>
  </sheetViews>
  <sheetFormatPr defaultRowHeight="15" x14ac:dyDescent="0.25"/>
  <cols>
    <col min="1" max="16384" width="9.140625" style="183"/>
  </cols>
  <sheetData>
    <row r="1" spans="1:1" x14ac:dyDescent="0.25">
      <c r="A1" s="193" t="s">
        <v>2486</v>
      </c>
    </row>
    <row r="2" spans="1:1" x14ac:dyDescent="0.25">
      <c r="A2" s="183" t="s">
        <v>2441</v>
      </c>
    </row>
    <row r="4" spans="1:1" x14ac:dyDescent="0.25">
      <c r="A4" s="193" t="s">
        <v>2444</v>
      </c>
    </row>
    <row r="5" spans="1:1" ht="17.25" x14ac:dyDescent="0.25">
      <c r="A5" s="52" t="s">
        <v>2445</v>
      </c>
    </row>
    <row r="6" spans="1:1" x14ac:dyDescent="0.25">
      <c r="A6" s="184" t="s">
        <v>2446</v>
      </c>
    </row>
    <row r="7" spans="1:1" x14ac:dyDescent="0.25">
      <c r="A7" s="184" t="s">
        <v>2447</v>
      </c>
    </row>
    <row r="8" spans="1:1" x14ac:dyDescent="0.25">
      <c r="A8" s="184" t="s">
        <v>2448</v>
      </c>
    </row>
    <row r="10" spans="1:1" ht="17.25" x14ac:dyDescent="0.25">
      <c r="A10" s="52" t="s">
        <v>2449</v>
      </c>
    </row>
    <row r="11" spans="1:1" x14ac:dyDescent="0.25">
      <c r="A11" s="184" t="s">
        <v>2450</v>
      </c>
    </row>
    <row r="12" spans="1:1" x14ac:dyDescent="0.25">
      <c r="A12" s="184" t="s">
        <v>2451</v>
      </c>
    </row>
    <row r="13" spans="1:1" x14ac:dyDescent="0.25">
      <c r="A13" s="184" t="s">
        <v>2452</v>
      </c>
    </row>
    <row r="14" spans="1:1" x14ac:dyDescent="0.25">
      <c r="A14" s="184" t="s">
        <v>2453</v>
      </c>
    </row>
    <row r="15" spans="1:1" x14ac:dyDescent="0.25">
      <c r="A15" s="184" t="s">
        <v>2454</v>
      </c>
    </row>
    <row r="16" spans="1:1" x14ac:dyDescent="0.25">
      <c r="A16" s="184" t="s">
        <v>2455</v>
      </c>
    </row>
    <row r="17" spans="1:7" x14ac:dyDescent="0.25">
      <c r="A17" s="184" t="s">
        <v>2456</v>
      </c>
    </row>
    <row r="18" spans="1:7" x14ac:dyDescent="0.25">
      <c r="A18" s="184" t="s">
        <v>2457</v>
      </c>
    </row>
    <row r="19" spans="1:7" x14ac:dyDescent="0.25">
      <c r="A19" s="184" t="s">
        <v>2458</v>
      </c>
    </row>
    <row r="21" spans="1:7" ht="17.25" x14ac:dyDescent="0.25">
      <c r="A21" s="52" t="s">
        <v>2459</v>
      </c>
    </row>
    <row r="22" spans="1:7" x14ac:dyDescent="0.25">
      <c r="A22" s="184" t="s">
        <v>2460</v>
      </c>
    </row>
    <row r="23" spans="1:7" x14ac:dyDescent="0.25">
      <c r="A23" s="184" t="s">
        <v>2461</v>
      </c>
    </row>
    <row r="24" spans="1:7" x14ac:dyDescent="0.25">
      <c r="A24" s="184" t="s">
        <v>2462</v>
      </c>
    </row>
    <row r="25" spans="1:7" x14ac:dyDescent="0.25">
      <c r="A25" s="184" t="s">
        <v>2463</v>
      </c>
    </row>
    <row r="26" spans="1:7" x14ac:dyDescent="0.25">
      <c r="A26" s="184" t="s">
        <v>2464</v>
      </c>
    </row>
    <row r="27" spans="1:7" x14ac:dyDescent="0.25">
      <c r="A27" s="184" t="s">
        <v>2465</v>
      </c>
    </row>
    <row r="28" spans="1:7" x14ac:dyDescent="0.25">
      <c r="A28" s="184" t="s">
        <v>2466</v>
      </c>
    </row>
    <row r="29" spans="1:7" x14ac:dyDescent="0.25">
      <c r="A29" s="184" t="s">
        <v>2467</v>
      </c>
      <c r="E29" s="195" t="s">
        <v>2496</v>
      </c>
      <c r="F29" s="195"/>
      <c r="G29" s="195"/>
    </row>
    <row r="30" spans="1:7" x14ac:dyDescent="0.25">
      <c r="A30" s="184" t="s">
        <v>2468</v>
      </c>
    </row>
    <row r="31" spans="1:7" x14ac:dyDescent="0.25">
      <c r="A31" s="184"/>
    </row>
    <row r="32" spans="1:7" ht="17.25" x14ac:dyDescent="0.25">
      <c r="A32" s="52" t="s">
        <v>2469</v>
      </c>
    </row>
    <row r="33" spans="1:1" x14ac:dyDescent="0.25">
      <c r="A33" s="184" t="s">
        <v>2470</v>
      </c>
    </row>
    <row r="34" spans="1:1" x14ac:dyDescent="0.25">
      <c r="A34" s="184" t="s">
        <v>2471</v>
      </c>
    </row>
    <row r="35" spans="1:1" x14ac:dyDescent="0.25">
      <c r="A35" s="184" t="s">
        <v>2472</v>
      </c>
    </row>
    <row r="36" spans="1:1" x14ac:dyDescent="0.25">
      <c r="A36" s="184" t="s">
        <v>2473</v>
      </c>
    </row>
    <row r="37" spans="1:1" x14ac:dyDescent="0.25">
      <c r="A37" s="184"/>
    </row>
    <row r="38" spans="1:1" ht="17.25" x14ac:dyDescent="0.25">
      <c r="A38" s="52" t="s">
        <v>2474</v>
      </c>
    </row>
    <row r="39" spans="1:1" x14ac:dyDescent="0.25">
      <c r="A39" s="184" t="s">
        <v>2475</v>
      </c>
    </row>
    <row r="40" spans="1:1" x14ac:dyDescent="0.25">
      <c r="A40" s="184" t="s">
        <v>2476</v>
      </c>
    </row>
    <row r="41" spans="1:1" x14ac:dyDescent="0.25">
      <c r="A41" s="184" t="s">
        <v>2477</v>
      </c>
    </row>
    <row r="42" spans="1:1" x14ac:dyDescent="0.25">
      <c r="A42" s="184" t="s">
        <v>2478</v>
      </c>
    </row>
    <row r="43" spans="1:1" x14ac:dyDescent="0.25">
      <c r="A43" s="184" t="s">
        <v>2479</v>
      </c>
    </row>
    <row r="44" spans="1:1" x14ac:dyDescent="0.25">
      <c r="A44" s="184" t="s">
        <v>2480</v>
      </c>
    </row>
    <row r="45" spans="1:1" x14ac:dyDescent="0.25">
      <c r="A45" s="184" t="s">
        <v>2481</v>
      </c>
    </row>
    <row r="46" spans="1:1" x14ac:dyDescent="0.25">
      <c r="A46" s="184" t="s">
        <v>2482</v>
      </c>
    </row>
    <row r="47" spans="1:1" x14ac:dyDescent="0.25">
      <c r="A47" s="184" t="s">
        <v>2483</v>
      </c>
    </row>
    <row r="48" spans="1:1" x14ac:dyDescent="0.25">
      <c r="A48" s="184" t="s">
        <v>2484</v>
      </c>
    </row>
    <row r="49" spans="1:1" x14ac:dyDescent="0.25">
      <c r="A49" s="184" t="s">
        <v>2485</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F7010-1D43-4E22-B09E-EBF588F2B355}">
  <dimension ref="B1:O132"/>
  <sheetViews>
    <sheetView topLeftCell="B1" workbookViewId="0">
      <selection activeCell="G11" sqref="G11"/>
    </sheetView>
  </sheetViews>
  <sheetFormatPr defaultRowHeight="15" x14ac:dyDescent="0.25"/>
  <cols>
    <col min="2" max="2" width="17.7109375" style="49" customWidth="1"/>
    <col min="3" max="3" width="23.28515625" style="49" customWidth="1"/>
    <col min="4" max="4" width="20.7109375" style="16" customWidth="1"/>
    <col min="5" max="5" width="21.5703125" style="16" bestFit="1" customWidth="1"/>
    <col min="6" max="6" width="19.28515625" style="16" customWidth="1"/>
    <col min="7" max="7" width="29.28515625" style="16" customWidth="1"/>
    <col min="8" max="8" width="21.28515625" style="56" customWidth="1"/>
    <col min="9" max="9" width="20.5703125" style="56" customWidth="1"/>
    <col min="10" max="10" width="21.28515625" style="57" customWidth="1"/>
    <col min="11" max="11" width="20.5703125" style="57" customWidth="1"/>
    <col min="12" max="12" width="13.85546875" style="14" customWidth="1"/>
    <col min="13" max="13" width="17" style="14" customWidth="1"/>
    <col min="14" max="14" width="18.5703125" style="58" bestFit="1" customWidth="1"/>
    <col min="15" max="15" width="21.5703125" style="58" bestFit="1" customWidth="1"/>
  </cols>
  <sheetData>
    <row r="1" spans="2:15" x14ac:dyDescent="0.25">
      <c r="B1" s="240" t="s">
        <v>360</v>
      </c>
      <c r="C1" s="240"/>
      <c r="D1" s="240"/>
      <c r="E1" s="240"/>
      <c r="F1" s="240"/>
      <c r="G1" s="240"/>
      <c r="H1" s="240"/>
      <c r="I1" s="240"/>
      <c r="J1" s="240"/>
      <c r="K1" s="240"/>
      <c r="L1" s="240"/>
      <c r="M1" s="240"/>
      <c r="N1" s="240"/>
      <c r="O1" s="240"/>
    </row>
    <row r="2" spans="2:15" s="1" customFormat="1" x14ac:dyDescent="0.25">
      <c r="B2" s="242" t="s">
        <v>6</v>
      </c>
      <c r="C2" s="243"/>
      <c r="D2" s="244" t="s">
        <v>356</v>
      </c>
      <c r="E2" s="245"/>
      <c r="F2" s="241" t="s">
        <v>362</v>
      </c>
      <c r="G2" s="241"/>
      <c r="H2" s="246" t="s">
        <v>357</v>
      </c>
      <c r="I2" s="247"/>
      <c r="J2" s="248" t="s">
        <v>361</v>
      </c>
      <c r="K2" s="249"/>
      <c r="L2" s="250" t="s">
        <v>359</v>
      </c>
      <c r="M2" s="251"/>
      <c r="N2" s="252" t="s">
        <v>163</v>
      </c>
      <c r="O2" s="253"/>
    </row>
    <row r="3" spans="2:15" x14ac:dyDescent="0.25">
      <c r="B3" s="83" t="s">
        <v>292</v>
      </c>
      <c r="C3" s="83" t="s">
        <v>293</v>
      </c>
      <c r="D3" s="84" t="s">
        <v>292</v>
      </c>
      <c r="E3" s="84" t="s">
        <v>293</v>
      </c>
      <c r="F3" s="84" t="s">
        <v>292</v>
      </c>
      <c r="G3" s="84" t="s">
        <v>293</v>
      </c>
      <c r="H3" s="85" t="s">
        <v>292</v>
      </c>
      <c r="I3" s="85" t="s">
        <v>293</v>
      </c>
      <c r="J3" s="86" t="s">
        <v>292</v>
      </c>
      <c r="K3" s="86" t="s">
        <v>293</v>
      </c>
      <c r="L3" s="87" t="s">
        <v>292</v>
      </c>
      <c r="M3" s="87" t="s">
        <v>293</v>
      </c>
      <c r="N3" s="88" t="s">
        <v>292</v>
      </c>
      <c r="O3" s="88" t="s">
        <v>293</v>
      </c>
    </row>
    <row r="4" spans="2:15" x14ac:dyDescent="0.25">
      <c r="B4" s="59"/>
      <c r="C4" s="60"/>
      <c r="D4" s="63"/>
      <c r="E4" s="64"/>
      <c r="F4" s="63"/>
      <c r="G4" s="64"/>
      <c r="H4" s="67"/>
      <c r="I4" s="68"/>
      <c r="J4" s="71"/>
      <c r="K4" s="72"/>
      <c r="L4" s="75"/>
      <c r="M4" s="76"/>
      <c r="N4" s="79"/>
      <c r="O4" s="80"/>
    </row>
    <row r="5" spans="2:15" x14ac:dyDescent="0.25">
      <c r="B5" s="59"/>
      <c r="C5" s="60"/>
      <c r="D5" s="63"/>
      <c r="E5" s="64"/>
      <c r="F5" s="63"/>
      <c r="G5" s="64"/>
      <c r="H5" s="67"/>
      <c r="I5" s="68"/>
      <c r="J5" s="71"/>
      <c r="K5" s="72"/>
      <c r="L5" s="75"/>
      <c r="M5" s="76"/>
      <c r="N5" s="79"/>
      <c r="O5" s="80"/>
    </row>
    <row r="6" spans="2:15" x14ac:dyDescent="0.25">
      <c r="B6" s="59"/>
      <c r="C6" s="60"/>
      <c r="D6" s="63"/>
      <c r="E6" s="64"/>
      <c r="F6" s="63"/>
      <c r="G6" s="64"/>
      <c r="H6" s="67"/>
      <c r="I6" s="68"/>
      <c r="J6" s="71"/>
      <c r="K6" s="72"/>
      <c r="L6" s="75"/>
      <c r="M6" s="76"/>
      <c r="N6" s="79"/>
      <c r="O6" s="80"/>
    </row>
    <row r="7" spans="2:15" x14ac:dyDescent="0.25">
      <c r="B7" s="59"/>
      <c r="C7" s="60"/>
      <c r="D7" s="63"/>
      <c r="E7" s="64"/>
      <c r="F7" s="63"/>
      <c r="G7" s="64"/>
      <c r="H7" s="67"/>
      <c r="I7" s="68"/>
      <c r="J7" s="71"/>
      <c r="K7" s="72"/>
      <c r="L7" s="75"/>
      <c r="M7" s="76"/>
      <c r="N7" s="79"/>
      <c r="O7" s="80"/>
    </row>
    <row r="8" spans="2:15" x14ac:dyDescent="0.25">
      <c r="B8" s="59"/>
      <c r="C8" s="60"/>
      <c r="D8" s="63"/>
      <c r="E8" s="64"/>
      <c r="F8" s="63"/>
      <c r="G8" s="64"/>
      <c r="H8" s="67"/>
      <c r="I8" s="68"/>
      <c r="J8" s="71"/>
      <c r="K8" s="72"/>
      <c r="L8" s="75"/>
      <c r="M8" s="76"/>
      <c r="N8" s="79"/>
      <c r="O8" s="80"/>
    </row>
    <row r="9" spans="2:15" x14ac:dyDescent="0.25">
      <c r="B9" s="59"/>
      <c r="C9" s="60"/>
      <c r="D9" s="63"/>
      <c r="E9" s="64"/>
      <c r="F9" s="63"/>
      <c r="G9" s="64"/>
      <c r="H9" s="67"/>
      <c r="I9" s="68"/>
      <c r="J9" s="71"/>
      <c r="K9" s="72"/>
      <c r="L9" s="75"/>
      <c r="M9" s="76"/>
      <c r="N9" s="79"/>
      <c r="O9" s="80"/>
    </row>
    <row r="10" spans="2:15" x14ac:dyDescent="0.25">
      <c r="B10" s="59"/>
      <c r="C10" s="60"/>
      <c r="D10" s="63"/>
      <c r="E10" s="64"/>
      <c r="F10" s="63"/>
      <c r="G10" s="64"/>
      <c r="H10" s="67"/>
      <c r="I10" s="68"/>
      <c r="J10" s="71"/>
      <c r="K10" s="72"/>
      <c r="L10" s="75"/>
      <c r="M10" s="76"/>
      <c r="N10" s="79"/>
      <c r="O10" s="80"/>
    </row>
    <row r="11" spans="2:15" x14ac:dyDescent="0.25">
      <c r="B11" s="59"/>
      <c r="C11" s="60"/>
      <c r="D11" s="63"/>
      <c r="E11" s="64"/>
      <c r="F11" s="63"/>
      <c r="G11" s="64"/>
      <c r="H11" s="67"/>
      <c r="I11" s="68"/>
      <c r="J11" s="71"/>
      <c r="K11" s="72"/>
      <c r="L11" s="75"/>
      <c r="M11" s="76"/>
      <c r="N11" s="79"/>
      <c r="O11" s="80"/>
    </row>
    <row r="12" spans="2:15" x14ac:dyDescent="0.25">
      <c r="B12" s="59"/>
      <c r="C12" s="60"/>
      <c r="D12" s="63"/>
      <c r="E12" s="64"/>
      <c r="F12" s="63"/>
      <c r="G12" s="64"/>
      <c r="H12" s="67"/>
      <c r="I12" s="68"/>
      <c r="J12" s="71"/>
      <c r="K12" s="72"/>
      <c r="L12" s="75"/>
      <c r="M12" s="76"/>
      <c r="N12" s="79"/>
      <c r="O12" s="80"/>
    </row>
    <row r="13" spans="2:15" x14ac:dyDescent="0.25">
      <c r="B13" s="59"/>
      <c r="C13" s="60"/>
      <c r="D13" s="63"/>
      <c r="E13" s="64"/>
      <c r="F13" s="63"/>
      <c r="G13" s="64"/>
      <c r="H13" s="67"/>
      <c r="I13" s="68"/>
      <c r="J13" s="71"/>
      <c r="K13" s="72"/>
      <c r="L13" s="75"/>
      <c r="M13" s="76"/>
      <c r="N13" s="79"/>
      <c r="O13" s="80"/>
    </row>
    <row r="14" spans="2:15" x14ac:dyDescent="0.25">
      <c r="B14" s="59"/>
      <c r="C14" s="60"/>
      <c r="D14" s="63"/>
      <c r="E14" s="64"/>
      <c r="F14" s="63"/>
      <c r="G14" s="64"/>
      <c r="H14" s="67"/>
      <c r="I14" s="68"/>
      <c r="J14" s="71"/>
      <c r="K14" s="72"/>
      <c r="L14" s="75"/>
      <c r="M14" s="76"/>
      <c r="N14" s="79"/>
      <c r="O14" s="80"/>
    </row>
    <row r="15" spans="2:15" x14ac:dyDescent="0.25">
      <c r="B15" s="59"/>
      <c r="C15" s="60"/>
      <c r="D15" s="63"/>
      <c r="E15" s="64"/>
      <c r="F15" s="63"/>
      <c r="G15" s="64"/>
      <c r="H15" s="67"/>
      <c r="I15" s="68"/>
      <c r="J15" s="71"/>
      <c r="K15" s="72"/>
      <c r="L15" s="75"/>
      <c r="M15" s="76"/>
      <c r="N15" s="79"/>
      <c r="O15" s="80"/>
    </row>
    <row r="16" spans="2:15" x14ac:dyDescent="0.25">
      <c r="B16" s="59"/>
      <c r="C16" s="60"/>
      <c r="D16" s="63"/>
      <c r="E16" s="64"/>
      <c r="F16" s="63"/>
      <c r="G16" s="64"/>
      <c r="H16" s="67"/>
      <c r="I16" s="68"/>
      <c r="J16" s="71"/>
      <c r="K16" s="72"/>
      <c r="L16" s="75"/>
      <c r="M16" s="76"/>
      <c r="N16" s="79"/>
      <c r="O16" s="80"/>
    </row>
    <row r="17" spans="2:15" x14ac:dyDescent="0.25">
      <c r="B17" s="59"/>
      <c r="C17" s="60"/>
      <c r="D17" s="63"/>
      <c r="E17" s="64"/>
      <c r="F17" s="63"/>
      <c r="G17" s="64"/>
      <c r="H17" s="67"/>
      <c r="I17" s="68"/>
      <c r="J17" s="71"/>
      <c r="K17" s="72"/>
      <c r="L17" s="75"/>
      <c r="M17" s="76"/>
      <c r="N17" s="79"/>
      <c r="O17" s="80"/>
    </row>
    <row r="18" spans="2:15" x14ac:dyDescent="0.25">
      <c r="B18" s="59"/>
      <c r="C18" s="60"/>
      <c r="D18" s="63"/>
      <c r="E18" s="64"/>
      <c r="F18" s="63"/>
      <c r="G18" s="64"/>
      <c r="H18" s="67"/>
      <c r="I18" s="68"/>
      <c r="J18" s="71"/>
      <c r="K18" s="72"/>
      <c r="L18" s="75"/>
      <c r="M18" s="76"/>
      <c r="N18" s="79"/>
      <c r="O18" s="80"/>
    </row>
    <row r="19" spans="2:15" x14ac:dyDescent="0.25">
      <c r="B19" s="59"/>
      <c r="C19" s="60"/>
      <c r="D19" s="63"/>
      <c r="E19" s="64"/>
      <c r="F19" s="63"/>
      <c r="G19" s="64"/>
      <c r="H19" s="67"/>
      <c r="I19" s="68"/>
      <c r="J19" s="71"/>
      <c r="K19" s="72"/>
      <c r="L19" s="75"/>
      <c r="M19" s="76"/>
      <c r="N19" s="79"/>
      <c r="O19" s="80"/>
    </row>
    <row r="20" spans="2:15" x14ac:dyDescent="0.25">
      <c r="B20" s="59"/>
      <c r="C20" s="60"/>
      <c r="D20" s="63"/>
      <c r="E20" s="64"/>
      <c r="F20" s="63"/>
      <c r="G20" s="64"/>
      <c r="H20" s="67"/>
      <c r="I20" s="68"/>
      <c r="J20" s="71"/>
      <c r="K20" s="72"/>
      <c r="L20" s="75"/>
      <c r="M20" s="76"/>
      <c r="N20" s="79"/>
      <c r="O20" s="80"/>
    </row>
    <row r="21" spans="2:15" x14ac:dyDescent="0.25">
      <c r="B21" s="59"/>
      <c r="C21" s="60"/>
      <c r="D21" s="63"/>
      <c r="E21" s="64"/>
      <c r="F21" s="63"/>
      <c r="G21" s="64"/>
      <c r="H21" s="67"/>
      <c r="I21" s="68"/>
      <c r="J21" s="71"/>
      <c r="K21" s="72"/>
      <c r="L21" s="75"/>
      <c r="M21" s="76"/>
      <c r="N21" s="79"/>
      <c r="O21" s="80"/>
    </row>
    <row r="22" spans="2:15" x14ac:dyDescent="0.25">
      <c r="B22" s="59"/>
      <c r="C22" s="60"/>
      <c r="D22" s="63"/>
      <c r="E22" s="64"/>
      <c r="F22" s="63"/>
      <c r="G22" s="64"/>
      <c r="H22" s="67"/>
      <c r="I22" s="68"/>
      <c r="J22" s="71"/>
      <c r="K22" s="72"/>
      <c r="L22" s="75"/>
      <c r="M22" s="76"/>
      <c r="N22" s="79"/>
      <c r="O22" s="80"/>
    </row>
    <row r="23" spans="2:15" x14ac:dyDescent="0.25">
      <c r="B23" s="59"/>
      <c r="C23" s="60"/>
      <c r="D23" s="63"/>
      <c r="E23" s="64"/>
      <c r="F23" s="63"/>
      <c r="G23" s="64"/>
      <c r="H23" s="67"/>
      <c r="I23" s="68"/>
      <c r="J23" s="71"/>
      <c r="K23" s="72"/>
      <c r="L23" s="75"/>
      <c r="M23" s="76"/>
      <c r="N23" s="79"/>
      <c r="O23" s="80"/>
    </row>
    <row r="24" spans="2:15" x14ac:dyDescent="0.25">
      <c r="B24" s="59"/>
      <c r="C24" s="60"/>
      <c r="D24" s="63"/>
      <c r="E24" s="64"/>
      <c r="F24" s="63"/>
      <c r="G24" s="64"/>
      <c r="H24" s="67"/>
      <c r="I24" s="68"/>
      <c r="J24" s="71"/>
      <c r="K24" s="72"/>
      <c r="L24" s="75"/>
      <c r="M24" s="76"/>
      <c r="N24" s="79"/>
      <c r="O24" s="80"/>
    </row>
    <row r="25" spans="2:15" x14ac:dyDescent="0.25">
      <c r="B25" s="59"/>
      <c r="C25" s="60"/>
      <c r="D25" s="63"/>
      <c r="E25" s="64"/>
      <c r="F25" s="63"/>
      <c r="G25" s="64"/>
      <c r="H25" s="67"/>
      <c r="I25" s="68"/>
      <c r="J25" s="71"/>
      <c r="K25" s="72"/>
      <c r="L25" s="75"/>
      <c r="M25" s="76"/>
      <c r="N25" s="79"/>
      <c r="O25" s="80"/>
    </row>
    <row r="26" spans="2:15" x14ac:dyDescent="0.25">
      <c r="B26" s="59"/>
      <c r="C26" s="60"/>
      <c r="D26" s="63"/>
      <c r="E26" s="64"/>
      <c r="F26" s="63"/>
      <c r="G26" s="64"/>
      <c r="H26" s="67"/>
      <c r="I26" s="68"/>
      <c r="J26" s="71"/>
      <c r="K26" s="72"/>
      <c r="L26" s="75"/>
      <c r="M26" s="76"/>
      <c r="N26" s="79"/>
      <c r="O26" s="80"/>
    </row>
    <row r="27" spans="2:15" x14ac:dyDescent="0.25">
      <c r="B27" s="59"/>
      <c r="C27" s="60"/>
      <c r="D27" s="63"/>
      <c r="E27" s="64"/>
      <c r="F27" s="63"/>
      <c r="G27" s="64"/>
      <c r="H27" s="67"/>
      <c r="I27" s="68"/>
      <c r="J27" s="71"/>
      <c r="K27" s="72"/>
      <c r="L27" s="75"/>
      <c r="M27" s="76"/>
      <c r="N27" s="79"/>
      <c r="O27" s="80"/>
    </row>
    <row r="28" spans="2:15" x14ac:dyDescent="0.25">
      <c r="B28" s="59"/>
      <c r="C28" s="60"/>
      <c r="D28" s="63"/>
      <c r="E28" s="64"/>
      <c r="F28" s="63"/>
      <c r="G28" s="64"/>
      <c r="H28" s="67"/>
      <c r="I28" s="68"/>
      <c r="J28" s="71"/>
      <c r="K28" s="72"/>
      <c r="L28" s="75"/>
      <c r="M28" s="76"/>
      <c r="N28" s="79"/>
      <c r="O28" s="80"/>
    </row>
    <row r="29" spans="2:15" x14ac:dyDescent="0.25">
      <c r="B29" s="59"/>
      <c r="C29" s="60"/>
      <c r="D29" s="63"/>
      <c r="E29" s="64"/>
      <c r="F29" s="63"/>
      <c r="G29" s="64"/>
      <c r="H29" s="67"/>
      <c r="I29" s="68"/>
      <c r="J29" s="71"/>
      <c r="K29" s="72"/>
      <c r="L29" s="75"/>
      <c r="M29" s="76"/>
      <c r="N29" s="79"/>
      <c r="O29" s="80"/>
    </row>
    <row r="30" spans="2:15" x14ac:dyDescent="0.25">
      <c r="B30" s="59"/>
      <c r="C30" s="60"/>
      <c r="D30" s="63"/>
      <c r="E30" s="64"/>
      <c r="F30" s="63"/>
      <c r="G30" s="64"/>
      <c r="H30" s="67"/>
      <c r="I30" s="68"/>
      <c r="J30" s="71"/>
      <c r="K30" s="72"/>
      <c r="L30" s="75"/>
      <c r="M30" s="76"/>
      <c r="N30" s="79"/>
      <c r="O30" s="80"/>
    </row>
    <row r="31" spans="2:15" x14ac:dyDescent="0.25">
      <c r="B31" s="59"/>
      <c r="C31" s="60"/>
      <c r="D31" s="63"/>
      <c r="E31" s="64"/>
      <c r="F31" s="63"/>
      <c r="G31" s="64"/>
      <c r="H31" s="67"/>
      <c r="I31" s="68"/>
      <c r="J31" s="71"/>
      <c r="K31" s="72"/>
      <c r="L31" s="75"/>
      <c r="M31" s="76"/>
      <c r="N31" s="79"/>
      <c r="O31" s="80"/>
    </row>
    <row r="32" spans="2:15" x14ac:dyDescent="0.25">
      <c r="B32" s="59"/>
      <c r="C32" s="60"/>
      <c r="D32" s="63"/>
      <c r="E32" s="64"/>
      <c r="F32" s="63"/>
      <c r="G32" s="64"/>
      <c r="H32" s="67"/>
      <c r="I32" s="68"/>
      <c r="J32" s="71"/>
      <c r="K32" s="72"/>
      <c r="L32" s="75"/>
      <c r="M32" s="76"/>
      <c r="N32" s="79"/>
      <c r="O32" s="80"/>
    </row>
    <row r="33" spans="2:15" x14ac:dyDescent="0.25">
      <c r="B33" s="59"/>
      <c r="C33" s="60"/>
      <c r="D33" s="63"/>
      <c r="E33" s="64"/>
      <c r="F33" s="63"/>
      <c r="G33" s="64"/>
      <c r="H33" s="67"/>
      <c r="I33" s="68"/>
      <c r="J33" s="71"/>
      <c r="K33" s="72"/>
      <c r="L33" s="75"/>
      <c r="M33" s="76"/>
      <c r="N33" s="79"/>
      <c r="O33" s="80"/>
    </row>
    <row r="34" spans="2:15" x14ac:dyDescent="0.25">
      <c r="B34" s="59"/>
      <c r="C34" s="60"/>
      <c r="D34" s="63"/>
      <c r="E34" s="64"/>
      <c r="F34" s="63"/>
      <c r="G34" s="64"/>
      <c r="H34" s="67"/>
      <c r="I34" s="68"/>
      <c r="J34" s="71"/>
      <c r="K34" s="72"/>
      <c r="L34" s="75"/>
      <c r="M34" s="76"/>
      <c r="N34" s="79"/>
      <c r="O34" s="80"/>
    </row>
    <row r="35" spans="2:15" x14ac:dyDescent="0.25">
      <c r="B35" s="59"/>
      <c r="C35" s="60"/>
      <c r="D35" s="63"/>
      <c r="E35" s="64"/>
      <c r="F35" s="63"/>
      <c r="G35" s="64"/>
      <c r="H35" s="67"/>
      <c r="I35" s="68"/>
      <c r="J35" s="71"/>
      <c r="K35" s="72"/>
      <c r="L35" s="75"/>
      <c r="M35" s="76"/>
      <c r="N35" s="79"/>
      <c r="O35" s="80"/>
    </row>
    <row r="36" spans="2:15" x14ac:dyDescent="0.25">
      <c r="B36" s="59"/>
      <c r="C36" s="60"/>
      <c r="D36" s="63"/>
      <c r="E36" s="64"/>
      <c r="F36" s="63"/>
      <c r="G36" s="64"/>
      <c r="H36" s="67"/>
      <c r="I36" s="68"/>
      <c r="J36" s="71"/>
      <c r="K36" s="72"/>
      <c r="L36" s="75"/>
      <c r="M36" s="76"/>
      <c r="N36" s="79"/>
      <c r="O36" s="80"/>
    </row>
    <row r="37" spans="2:15" x14ac:dyDescent="0.25">
      <c r="B37" s="59"/>
      <c r="C37" s="60"/>
      <c r="D37" s="63"/>
      <c r="E37" s="64"/>
      <c r="F37" s="63"/>
      <c r="G37" s="64"/>
      <c r="H37" s="67"/>
      <c r="I37" s="68"/>
      <c r="J37" s="71"/>
      <c r="K37" s="72"/>
      <c r="L37" s="75"/>
      <c r="M37" s="76"/>
      <c r="N37" s="79"/>
      <c r="O37" s="80"/>
    </row>
    <row r="38" spans="2:15" x14ac:dyDescent="0.25">
      <c r="B38" s="59"/>
      <c r="C38" s="60"/>
      <c r="D38" s="63"/>
      <c r="E38" s="64"/>
      <c r="F38" s="63"/>
      <c r="G38" s="64"/>
      <c r="H38" s="67"/>
      <c r="I38" s="68"/>
      <c r="J38" s="71"/>
      <c r="K38" s="72"/>
      <c r="L38" s="75"/>
      <c r="M38" s="76"/>
      <c r="N38" s="79"/>
      <c r="O38" s="80"/>
    </row>
    <row r="39" spans="2:15" x14ac:dyDescent="0.25">
      <c r="B39" s="59"/>
      <c r="C39" s="60"/>
      <c r="D39" s="63"/>
      <c r="E39" s="64"/>
      <c r="F39" s="63"/>
      <c r="G39" s="64"/>
      <c r="H39" s="67"/>
      <c r="I39" s="68"/>
      <c r="J39" s="71"/>
      <c r="K39" s="72"/>
      <c r="L39" s="75"/>
      <c r="M39" s="76"/>
      <c r="N39" s="79"/>
      <c r="O39" s="80"/>
    </row>
    <row r="40" spans="2:15" x14ac:dyDescent="0.25">
      <c r="B40" s="59"/>
      <c r="C40" s="60"/>
      <c r="D40" s="63"/>
      <c r="E40" s="64"/>
      <c r="F40" s="63"/>
      <c r="G40" s="64"/>
      <c r="H40" s="67"/>
      <c r="I40" s="68"/>
      <c r="J40" s="71"/>
      <c r="K40" s="72"/>
      <c r="L40" s="75"/>
      <c r="M40" s="76"/>
      <c r="N40" s="79"/>
      <c r="O40" s="80"/>
    </row>
    <row r="41" spans="2:15" x14ac:dyDescent="0.25">
      <c r="B41" s="59"/>
      <c r="C41" s="60"/>
      <c r="D41" s="63"/>
      <c r="E41" s="64"/>
      <c r="F41" s="63"/>
      <c r="G41" s="64"/>
      <c r="H41" s="67"/>
      <c r="I41" s="68"/>
      <c r="J41" s="71"/>
      <c r="K41" s="72"/>
      <c r="L41" s="75"/>
      <c r="M41" s="76"/>
      <c r="N41" s="79"/>
      <c r="O41" s="80"/>
    </row>
    <row r="42" spans="2:15" x14ac:dyDescent="0.25">
      <c r="B42" s="59"/>
      <c r="C42" s="60"/>
      <c r="D42" s="63"/>
      <c r="E42" s="64"/>
      <c r="F42" s="63"/>
      <c r="G42" s="64"/>
      <c r="H42" s="67"/>
      <c r="I42" s="68"/>
      <c r="J42" s="71"/>
      <c r="K42" s="72"/>
      <c r="L42" s="75"/>
      <c r="M42" s="76"/>
      <c r="N42" s="79"/>
      <c r="O42" s="80"/>
    </row>
    <row r="43" spans="2:15" x14ac:dyDescent="0.25">
      <c r="B43" s="59"/>
      <c r="C43" s="60"/>
      <c r="D43" s="63"/>
      <c r="E43" s="64"/>
      <c r="F43" s="63"/>
      <c r="G43" s="64"/>
      <c r="H43" s="67"/>
      <c r="I43" s="68"/>
      <c r="J43" s="71"/>
      <c r="K43" s="72"/>
      <c r="L43" s="75"/>
      <c r="M43" s="76"/>
      <c r="N43" s="79"/>
      <c r="O43" s="80"/>
    </row>
    <row r="44" spans="2:15" x14ac:dyDescent="0.25">
      <c r="B44" s="59"/>
      <c r="C44" s="60"/>
      <c r="D44" s="63"/>
      <c r="E44" s="64"/>
      <c r="F44" s="63"/>
      <c r="G44" s="64"/>
      <c r="H44" s="67"/>
      <c r="I44" s="68"/>
      <c r="J44" s="71"/>
      <c r="K44" s="72"/>
      <c r="L44" s="75"/>
      <c r="M44" s="76"/>
      <c r="N44" s="79"/>
      <c r="O44" s="80"/>
    </row>
    <row r="45" spans="2:15" x14ac:dyDescent="0.25">
      <c r="B45" s="59"/>
      <c r="C45" s="60"/>
      <c r="D45" s="63"/>
      <c r="E45" s="64"/>
      <c r="F45" s="63"/>
      <c r="G45" s="64"/>
      <c r="H45" s="67"/>
      <c r="I45" s="68"/>
      <c r="J45" s="71"/>
      <c r="K45" s="72"/>
      <c r="L45" s="75"/>
      <c r="M45" s="76"/>
      <c r="N45" s="79"/>
      <c r="O45" s="80"/>
    </row>
    <row r="46" spans="2:15" x14ac:dyDescent="0.25">
      <c r="B46" s="59"/>
      <c r="C46" s="60"/>
      <c r="D46" s="63"/>
      <c r="E46" s="64"/>
      <c r="F46" s="63"/>
      <c r="G46" s="64"/>
      <c r="H46" s="67"/>
      <c r="I46" s="68"/>
      <c r="J46" s="71"/>
      <c r="K46" s="72"/>
      <c r="L46" s="75"/>
      <c r="M46" s="76"/>
      <c r="N46" s="79"/>
      <c r="O46" s="80"/>
    </row>
    <row r="47" spans="2:15" x14ac:dyDescent="0.25">
      <c r="B47" s="59"/>
      <c r="C47" s="60"/>
      <c r="D47" s="63"/>
      <c r="E47" s="64"/>
      <c r="F47" s="63"/>
      <c r="G47" s="64"/>
      <c r="H47" s="67"/>
      <c r="I47" s="68"/>
      <c r="J47" s="71"/>
      <c r="K47" s="72"/>
      <c r="L47" s="75"/>
      <c r="M47" s="76"/>
      <c r="N47" s="79"/>
      <c r="O47" s="80"/>
    </row>
    <row r="48" spans="2:15" x14ac:dyDescent="0.25">
      <c r="B48" s="59"/>
      <c r="C48" s="60"/>
      <c r="D48" s="63"/>
      <c r="E48" s="64"/>
      <c r="F48" s="63"/>
      <c r="G48" s="64"/>
      <c r="H48" s="67"/>
      <c r="I48" s="68"/>
      <c r="J48" s="71"/>
      <c r="K48" s="72"/>
      <c r="L48" s="75"/>
      <c r="M48" s="76"/>
      <c r="N48" s="79"/>
      <c r="O48" s="80"/>
    </row>
    <row r="49" spans="2:15" x14ac:dyDescent="0.25">
      <c r="B49" s="59"/>
      <c r="C49" s="60"/>
      <c r="D49" s="63"/>
      <c r="E49" s="64"/>
      <c r="F49" s="63"/>
      <c r="G49" s="64"/>
      <c r="H49" s="67"/>
      <c r="I49" s="68"/>
      <c r="J49" s="71"/>
      <c r="K49" s="72"/>
      <c r="L49" s="75"/>
      <c r="M49" s="76"/>
      <c r="N49" s="79"/>
      <c r="O49" s="80"/>
    </row>
    <row r="50" spans="2:15" x14ac:dyDescent="0.25">
      <c r="B50" s="59"/>
      <c r="C50" s="60"/>
      <c r="D50" s="63"/>
      <c r="E50" s="64"/>
      <c r="F50" s="63"/>
      <c r="G50" s="64"/>
      <c r="H50" s="67"/>
      <c r="I50" s="68"/>
      <c r="J50" s="71"/>
      <c r="K50" s="72"/>
      <c r="L50" s="75"/>
      <c r="M50" s="76"/>
      <c r="N50" s="79"/>
      <c r="O50" s="80"/>
    </row>
    <row r="51" spans="2:15" x14ac:dyDescent="0.25">
      <c r="B51" s="59"/>
      <c r="C51" s="60"/>
      <c r="D51" s="63"/>
      <c r="E51" s="64"/>
      <c r="F51" s="63"/>
      <c r="G51" s="64"/>
      <c r="H51" s="67"/>
      <c r="I51" s="68"/>
      <c r="J51" s="71"/>
      <c r="K51" s="72"/>
      <c r="L51" s="75"/>
      <c r="M51" s="76"/>
      <c r="N51" s="79"/>
      <c r="O51" s="80"/>
    </row>
    <row r="52" spans="2:15" x14ac:dyDescent="0.25">
      <c r="B52" s="59"/>
      <c r="C52" s="60"/>
      <c r="D52" s="63"/>
      <c r="E52" s="64"/>
      <c r="F52" s="63"/>
      <c r="G52" s="64"/>
      <c r="H52" s="67"/>
      <c r="I52" s="68"/>
      <c r="J52" s="71"/>
      <c r="K52" s="72"/>
      <c r="L52" s="75"/>
      <c r="M52" s="76"/>
      <c r="N52" s="79"/>
      <c r="O52" s="80"/>
    </row>
    <row r="53" spans="2:15" x14ac:dyDescent="0.25">
      <c r="B53" s="59"/>
      <c r="C53" s="60"/>
      <c r="D53" s="63"/>
      <c r="E53" s="64"/>
      <c r="F53" s="63"/>
      <c r="G53" s="64"/>
      <c r="H53" s="67"/>
      <c r="I53" s="68"/>
      <c r="J53" s="71"/>
      <c r="K53" s="72"/>
      <c r="L53" s="75"/>
      <c r="M53" s="76"/>
      <c r="N53" s="79"/>
      <c r="O53" s="80"/>
    </row>
    <row r="54" spans="2:15" x14ac:dyDescent="0.25">
      <c r="B54" s="59"/>
      <c r="C54" s="60"/>
      <c r="D54" s="63"/>
      <c r="E54" s="64"/>
      <c r="F54" s="63"/>
      <c r="G54" s="64"/>
      <c r="H54" s="67"/>
      <c r="I54" s="68"/>
      <c r="J54" s="71"/>
      <c r="K54" s="72"/>
      <c r="L54" s="75"/>
      <c r="M54" s="76"/>
      <c r="N54" s="79"/>
      <c r="O54" s="80"/>
    </row>
    <row r="55" spans="2:15" x14ac:dyDescent="0.25">
      <c r="B55" s="59"/>
      <c r="C55" s="60"/>
      <c r="D55" s="63"/>
      <c r="E55" s="64"/>
      <c r="F55" s="63"/>
      <c r="G55" s="64"/>
      <c r="H55" s="67"/>
      <c r="I55" s="68"/>
      <c r="J55" s="71"/>
      <c r="K55" s="72"/>
      <c r="L55" s="75"/>
      <c r="M55" s="76"/>
      <c r="N55" s="79"/>
      <c r="O55" s="80"/>
    </row>
    <row r="56" spans="2:15" x14ac:dyDescent="0.25">
      <c r="B56" s="59"/>
      <c r="C56" s="60"/>
      <c r="D56" s="63"/>
      <c r="E56" s="64"/>
      <c r="F56" s="63"/>
      <c r="G56" s="64"/>
      <c r="H56" s="67"/>
      <c r="I56" s="68"/>
      <c r="J56" s="71"/>
      <c r="K56" s="72"/>
      <c r="L56" s="75"/>
      <c r="M56" s="76"/>
      <c r="N56" s="79"/>
      <c r="O56" s="80"/>
    </row>
    <row r="57" spans="2:15" x14ac:dyDescent="0.25">
      <c r="B57" s="59"/>
      <c r="C57" s="60"/>
      <c r="D57" s="63"/>
      <c r="E57" s="64"/>
      <c r="F57" s="63"/>
      <c r="G57" s="64"/>
      <c r="H57" s="67"/>
      <c r="I57" s="68"/>
      <c r="J57" s="71"/>
      <c r="K57" s="72"/>
      <c r="L57" s="75"/>
      <c r="M57" s="76"/>
      <c r="N57" s="79"/>
      <c r="O57" s="80"/>
    </row>
    <row r="58" spans="2:15" x14ac:dyDescent="0.25">
      <c r="B58" s="59"/>
      <c r="C58" s="60"/>
      <c r="D58" s="63"/>
      <c r="E58" s="64"/>
      <c r="F58" s="63"/>
      <c r="G58" s="64"/>
      <c r="H58" s="67"/>
      <c r="I58" s="68"/>
      <c r="J58" s="71"/>
      <c r="K58" s="72"/>
      <c r="L58" s="75"/>
      <c r="M58" s="76"/>
      <c r="N58" s="79"/>
      <c r="O58" s="80"/>
    </row>
    <row r="59" spans="2:15" x14ac:dyDescent="0.25">
      <c r="B59" s="59"/>
      <c r="C59" s="60"/>
      <c r="D59" s="63"/>
      <c r="E59" s="64"/>
      <c r="F59" s="63"/>
      <c r="G59" s="64"/>
      <c r="H59" s="67"/>
      <c r="I59" s="68"/>
      <c r="J59" s="71"/>
      <c r="K59" s="72"/>
      <c r="L59" s="75"/>
      <c r="M59" s="76"/>
      <c r="N59" s="79"/>
      <c r="O59" s="80"/>
    </row>
    <row r="60" spans="2:15" x14ac:dyDescent="0.25">
      <c r="B60" s="59"/>
      <c r="C60" s="60"/>
      <c r="D60" s="63"/>
      <c r="E60" s="64"/>
      <c r="F60" s="63"/>
      <c r="G60" s="64"/>
      <c r="H60" s="67"/>
      <c r="I60" s="68"/>
      <c r="J60" s="71"/>
      <c r="K60" s="72"/>
      <c r="L60" s="75"/>
      <c r="M60" s="76"/>
      <c r="N60" s="79"/>
      <c r="O60" s="80"/>
    </row>
    <row r="61" spans="2:15" x14ac:dyDescent="0.25">
      <c r="B61" s="59"/>
      <c r="C61" s="60"/>
      <c r="D61" s="63"/>
      <c r="E61" s="64"/>
      <c r="F61" s="63"/>
      <c r="G61" s="64"/>
      <c r="H61" s="67"/>
      <c r="I61" s="68"/>
      <c r="J61" s="71"/>
      <c r="K61" s="72"/>
      <c r="L61" s="75"/>
      <c r="M61" s="76"/>
      <c r="N61" s="79"/>
      <c r="O61" s="80"/>
    </row>
    <row r="62" spans="2:15" x14ac:dyDescent="0.25">
      <c r="B62" s="59"/>
      <c r="C62" s="60"/>
      <c r="D62" s="63"/>
      <c r="E62" s="64"/>
      <c r="F62" s="63"/>
      <c r="G62" s="64"/>
      <c r="H62" s="67"/>
      <c r="I62" s="68"/>
      <c r="J62" s="71"/>
      <c r="K62" s="72"/>
      <c r="L62" s="75"/>
      <c r="M62" s="76"/>
      <c r="N62" s="79"/>
      <c r="O62" s="80"/>
    </row>
    <row r="63" spans="2:15" x14ac:dyDescent="0.25">
      <c r="B63" s="59"/>
      <c r="C63" s="60"/>
      <c r="D63" s="63"/>
      <c r="E63" s="64"/>
      <c r="F63" s="63"/>
      <c r="G63" s="64"/>
      <c r="H63" s="67"/>
      <c r="I63" s="68"/>
      <c r="J63" s="71"/>
      <c r="K63" s="72"/>
      <c r="L63" s="75"/>
      <c r="M63" s="76"/>
      <c r="N63" s="79"/>
      <c r="O63" s="80"/>
    </row>
    <row r="64" spans="2:15" x14ac:dyDescent="0.25">
      <c r="B64" s="59"/>
      <c r="C64" s="60"/>
      <c r="D64" s="63"/>
      <c r="E64" s="64"/>
      <c r="F64" s="63"/>
      <c r="G64" s="64"/>
      <c r="H64" s="67"/>
      <c r="I64" s="68"/>
      <c r="J64" s="71"/>
      <c r="K64" s="72"/>
      <c r="L64" s="75"/>
      <c r="M64" s="76"/>
      <c r="N64" s="79"/>
      <c r="O64" s="80"/>
    </row>
    <row r="65" spans="2:15" x14ac:dyDescent="0.25">
      <c r="B65" s="59"/>
      <c r="C65" s="60"/>
      <c r="D65" s="63"/>
      <c r="E65" s="64"/>
      <c r="F65" s="63"/>
      <c r="G65" s="64"/>
      <c r="H65" s="67"/>
      <c r="I65" s="68"/>
      <c r="J65" s="71"/>
      <c r="K65" s="72"/>
      <c r="L65" s="75"/>
      <c r="M65" s="76"/>
      <c r="N65" s="79"/>
      <c r="O65" s="80"/>
    </row>
    <row r="66" spans="2:15" x14ac:dyDescent="0.25">
      <c r="B66" s="59"/>
      <c r="C66" s="60"/>
      <c r="D66" s="63"/>
      <c r="E66" s="64"/>
      <c r="F66" s="63"/>
      <c r="G66" s="64"/>
      <c r="H66" s="67"/>
      <c r="I66" s="68"/>
      <c r="J66" s="71"/>
      <c r="K66" s="72"/>
      <c r="L66" s="75"/>
      <c r="M66" s="76"/>
      <c r="N66" s="79"/>
      <c r="O66" s="80"/>
    </row>
    <row r="67" spans="2:15" x14ac:dyDescent="0.25">
      <c r="B67" s="59"/>
      <c r="C67" s="60"/>
      <c r="D67" s="63"/>
      <c r="E67" s="64"/>
      <c r="F67" s="63"/>
      <c r="G67" s="64"/>
      <c r="H67" s="67"/>
      <c r="I67" s="68"/>
      <c r="J67" s="71"/>
      <c r="K67" s="72"/>
      <c r="L67" s="75"/>
      <c r="M67" s="76"/>
      <c r="N67" s="79"/>
      <c r="O67" s="80"/>
    </row>
    <row r="68" spans="2:15" x14ac:dyDescent="0.25">
      <c r="B68" s="59"/>
      <c r="C68" s="60"/>
      <c r="D68" s="63"/>
      <c r="E68" s="64"/>
      <c r="F68" s="63"/>
      <c r="G68" s="64"/>
      <c r="H68" s="67"/>
      <c r="I68" s="68"/>
      <c r="J68" s="71"/>
      <c r="K68" s="72"/>
      <c r="L68" s="75"/>
      <c r="M68" s="76"/>
      <c r="N68" s="79"/>
      <c r="O68" s="80"/>
    </row>
    <row r="69" spans="2:15" x14ac:dyDescent="0.25">
      <c r="B69" s="59"/>
      <c r="C69" s="60"/>
      <c r="D69" s="63"/>
      <c r="E69" s="64"/>
      <c r="F69" s="63"/>
      <c r="G69" s="64"/>
      <c r="H69" s="67"/>
      <c r="I69" s="68"/>
      <c r="J69" s="71"/>
      <c r="K69" s="72"/>
      <c r="L69" s="75"/>
      <c r="M69" s="76"/>
      <c r="N69" s="79"/>
      <c r="O69" s="80"/>
    </row>
    <row r="70" spans="2:15" x14ac:dyDescent="0.25">
      <c r="B70" s="59"/>
      <c r="C70" s="60"/>
      <c r="D70" s="63"/>
      <c r="E70" s="64"/>
      <c r="F70" s="63"/>
      <c r="G70" s="64"/>
      <c r="H70" s="67"/>
      <c r="I70" s="68"/>
      <c r="J70" s="71"/>
      <c r="K70" s="72"/>
      <c r="L70" s="75"/>
      <c r="M70" s="76"/>
      <c r="N70" s="79"/>
      <c r="O70" s="80"/>
    </row>
    <row r="71" spans="2:15" x14ac:dyDescent="0.25">
      <c r="B71" s="59"/>
      <c r="C71" s="60"/>
      <c r="D71" s="63"/>
      <c r="E71" s="64"/>
      <c r="F71" s="63"/>
      <c r="G71" s="64"/>
      <c r="H71" s="67"/>
      <c r="I71" s="68"/>
      <c r="J71" s="71"/>
      <c r="K71" s="72"/>
      <c r="L71" s="75"/>
      <c r="M71" s="76"/>
      <c r="N71" s="79"/>
      <c r="O71" s="80"/>
    </row>
    <row r="72" spans="2:15" x14ac:dyDescent="0.25">
      <c r="B72" s="59"/>
      <c r="C72" s="60"/>
      <c r="D72" s="63"/>
      <c r="E72" s="64"/>
      <c r="F72" s="63"/>
      <c r="G72" s="64"/>
      <c r="H72" s="67"/>
      <c r="I72" s="68"/>
      <c r="J72" s="71"/>
      <c r="K72" s="72"/>
      <c r="L72" s="75"/>
      <c r="M72" s="76"/>
      <c r="N72" s="79"/>
      <c r="O72" s="80"/>
    </row>
    <row r="73" spans="2:15" x14ac:dyDescent="0.25">
      <c r="B73" s="59"/>
      <c r="C73" s="60"/>
      <c r="D73" s="63"/>
      <c r="E73" s="64"/>
      <c r="F73" s="63"/>
      <c r="G73" s="64"/>
      <c r="H73" s="67"/>
      <c r="I73" s="68"/>
      <c r="J73" s="71"/>
      <c r="K73" s="72"/>
      <c r="L73" s="75"/>
      <c r="M73" s="76"/>
      <c r="N73" s="79"/>
      <c r="O73" s="80"/>
    </row>
    <row r="74" spans="2:15" x14ac:dyDescent="0.25">
      <c r="B74" s="59"/>
      <c r="C74" s="60"/>
      <c r="D74" s="63"/>
      <c r="E74" s="64"/>
      <c r="F74" s="63"/>
      <c r="G74" s="64"/>
      <c r="H74" s="67"/>
      <c r="I74" s="68"/>
      <c r="J74" s="71"/>
      <c r="K74" s="72"/>
      <c r="L74" s="75"/>
      <c r="M74" s="76"/>
      <c r="N74" s="79"/>
      <c r="O74" s="80"/>
    </row>
    <row r="75" spans="2:15" x14ac:dyDescent="0.25">
      <c r="B75" s="59"/>
      <c r="C75" s="60"/>
      <c r="D75" s="63"/>
      <c r="E75" s="64"/>
      <c r="F75" s="63"/>
      <c r="G75" s="64"/>
      <c r="H75" s="67"/>
      <c r="I75" s="68"/>
      <c r="J75" s="71"/>
      <c r="K75" s="72"/>
      <c r="L75" s="75"/>
      <c r="M75" s="76"/>
      <c r="N75" s="79"/>
      <c r="O75" s="80"/>
    </row>
    <row r="76" spans="2:15" x14ac:dyDescent="0.25">
      <c r="B76" s="59"/>
      <c r="C76" s="60"/>
      <c r="D76" s="63"/>
      <c r="E76" s="64"/>
      <c r="F76" s="63"/>
      <c r="G76" s="64"/>
      <c r="H76" s="67"/>
      <c r="I76" s="68"/>
      <c r="J76" s="71"/>
      <c r="K76" s="72"/>
      <c r="L76" s="75"/>
      <c r="M76" s="76"/>
      <c r="N76" s="79"/>
      <c r="O76" s="80"/>
    </row>
    <row r="77" spans="2:15" x14ac:dyDescent="0.25">
      <c r="B77" s="59"/>
      <c r="C77" s="60"/>
      <c r="D77" s="63"/>
      <c r="E77" s="64"/>
      <c r="F77" s="63"/>
      <c r="G77" s="64"/>
      <c r="H77" s="67"/>
      <c r="I77" s="68"/>
      <c r="J77" s="71"/>
      <c r="K77" s="72"/>
      <c r="L77" s="75"/>
      <c r="M77" s="76"/>
      <c r="N77" s="79"/>
      <c r="O77" s="80"/>
    </row>
    <row r="78" spans="2:15" x14ac:dyDescent="0.25">
      <c r="B78" s="59"/>
      <c r="C78" s="60"/>
      <c r="D78" s="63"/>
      <c r="E78" s="64"/>
      <c r="F78" s="63"/>
      <c r="G78" s="64"/>
      <c r="H78" s="67"/>
      <c r="I78" s="68"/>
      <c r="J78" s="71"/>
      <c r="K78" s="72"/>
      <c r="L78" s="75"/>
      <c r="M78" s="76"/>
      <c r="N78" s="79"/>
      <c r="O78" s="80"/>
    </row>
    <row r="79" spans="2:15" x14ac:dyDescent="0.25">
      <c r="B79" s="59"/>
      <c r="C79" s="60"/>
      <c r="D79" s="63"/>
      <c r="E79" s="64"/>
      <c r="F79" s="63"/>
      <c r="G79" s="64"/>
      <c r="H79" s="67"/>
      <c r="I79" s="68"/>
      <c r="J79" s="71"/>
      <c r="K79" s="72"/>
      <c r="L79" s="75"/>
      <c r="M79" s="76"/>
      <c r="N79" s="79"/>
      <c r="O79" s="80"/>
    </row>
    <row r="80" spans="2:15" x14ac:dyDescent="0.25">
      <c r="B80" s="59"/>
      <c r="C80" s="60"/>
      <c r="D80" s="63"/>
      <c r="E80" s="64"/>
      <c r="F80" s="63"/>
      <c r="G80" s="64"/>
      <c r="H80" s="67"/>
      <c r="I80" s="68"/>
      <c r="J80" s="71"/>
      <c r="K80" s="72"/>
      <c r="L80" s="75"/>
      <c r="M80" s="76"/>
      <c r="N80" s="79"/>
      <c r="O80" s="80"/>
    </row>
    <row r="81" spans="2:15" x14ac:dyDescent="0.25">
      <c r="B81" s="59"/>
      <c r="C81" s="60"/>
      <c r="D81" s="63"/>
      <c r="E81" s="64"/>
      <c r="F81" s="63"/>
      <c r="G81" s="64"/>
      <c r="H81" s="67"/>
      <c r="I81" s="68"/>
      <c r="J81" s="71"/>
      <c r="K81" s="72"/>
      <c r="L81" s="75"/>
      <c r="M81" s="76"/>
      <c r="N81" s="79"/>
      <c r="O81" s="80"/>
    </row>
    <row r="82" spans="2:15" x14ac:dyDescent="0.25">
      <c r="B82" s="59"/>
      <c r="C82" s="60"/>
      <c r="D82" s="63"/>
      <c r="E82" s="64"/>
      <c r="F82" s="63"/>
      <c r="G82" s="64"/>
      <c r="H82" s="67"/>
      <c r="I82" s="68"/>
      <c r="J82" s="71"/>
      <c r="K82" s="72"/>
      <c r="L82" s="75"/>
      <c r="M82" s="76"/>
      <c r="N82" s="79"/>
      <c r="O82" s="80"/>
    </row>
    <row r="83" spans="2:15" x14ac:dyDescent="0.25">
      <c r="B83" s="59"/>
      <c r="C83" s="60"/>
      <c r="D83" s="63"/>
      <c r="E83" s="64"/>
      <c r="F83" s="63"/>
      <c r="G83" s="64"/>
      <c r="H83" s="67"/>
      <c r="I83" s="68"/>
      <c r="J83" s="71"/>
      <c r="K83" s="72"/>
      <c r="L83" s="75"/>
      <c r="M83" s="76"/>
      <c r="N83" s="79"/>
      <c r="O83" s="80"/>
    </row>
    <row r="84" spans="2:15" x14ac:dyDescent="0.25">
      <c r="B84" s="59"/>
      <c r="C84" s="60"/>
      <c r="D84" s="63"/>
      <c r="E84" s="64"/>
      <c r="F84" s="63"/>
      <c r="G84" s="64"/>
      <c r="H84" s="67"/>
      <c r="I84" s="68"/>
      <c r="J84" s="71"/>
      <c r="K84" s="72"/>
      <c r="L84" s="75"/>
      <c r="M84" s="76"/>
      <c r="N84" s="79"/>
      <c r="O84" s="80"/>
    </row>
    <row r="85" spans="2:15" x14ac:dyDescent="0.25">
      <c r="B85" s="59"/>
      <c r="C85" s="60"/>
      <c r="D85" s="63"/>
      <c r="E85" s="64"/>
      <c r="F85" s="63"/>
      <c r="G85" s="64"/>
      <c r="H85" s="67"/>
      <c r="I85" s="68"/>
      <c r="J85" s="71"/>
      <c r="K85" s="72"/>
      <c r="L85" s="75"/>
      <c r="M85" s="76"/>
      <c r="N85" s="79"/>
      <c r="O85" s="80"/>
    </row>
    <row r="86" spans="2:15" x14ac:dyDescent="0.25">
      <c r="B86" s="59"/>
      <c r="C86" s="60"/>
      <c r="D86" s="63"/>
      <c r="E86" s="64"/>
      <c r="F86" s="63"/>
      <c r="G86" s="64"/>
      <c r="H86" s="67"/>
      <c r="I86" s="68"/>
      <c r="J86" s="71"/>
      <c r="K86" s="72"/>
      <c r="L86" s="75"/>
      <c r="M86" s="76"/>
      <c r="N86" s="79"/>
      <c r="O86" s="80"/>
    </row>
    <row r="87" spans="2:15" x14ac:dyDescent="0.25">
      <c r="B87" s="59"/>
      <c r="C87" s="60"/>
      <c r="D87" s="63"/>
      <c r="E87" s="64"/>
      <c r="F87" s="63"/>
      <c r="G87" s="64"/>
      <c r="H87" s="67"/>
      <c r="I87" s="68"/>
      <c r="J87" s="71"/>
      <c r="K87" s="72"/>
      <c r="L87" s="75"/>
      <c r="M87" s="76"/>
      <c r="N87" s="79"/>
      <c r="O87" s="80"/>
    </row>
    <row r="88" spans="2:15" x14ac:dyDescent="0.25">
      <c r="B88" s="59"/>
      <c r="C88" s="60"/>
      <c r="D88" s="63"/>
      <c r="E88" s="64"/>
      <c r="F88" s="63"/>
      <c r="G88" s="64"/>
      <c r="H88" s="67"/>
      <c r="I88" s="68"/>
      <c r="J88" s="71"/>
      <c r="K88" s="72"/>
      <c r="L88" s="75"/>
      <c r="M88" s="76"/>
      <c r="N88" s="79"/>
      <c r="O88" s="80"/>
    </row>
    <row r="89" spans="2:15" x14ac:dyDescent="0.25">
      <c r="B89" s="59"/>
      <c r="C89" s="60"/>
      <c r="D89" s="63"/>
      <c r="E89" s="64"/>
      <c r="F89" s="63"/>
      <c r="G89" s="64"/>
      <c r="H89" s="67"/>
      <c r="I89" s="68"/>
      <c r="J89" s="71"/>
      <c r="K89" s="72"/>
      <c r="L89" s="75"/>
      <c r="M89" s="76"/>
      <c r="N89" s="79"/>
      <c r="O89" s="80"/>
    </row>
    <row r="90" spans="2:15" x14ac:dyDescent="0.25">
      <c r="B90" s="59"/>
      <c r="C90" s="60"/>
      <c r="D90" s="63"/>
      <c r="E90" s="64"/>
      <c r="F90" s="63"/>
      <c r="G90" s="64"/>
      <c r="H90" s="67"/>
      <c r="I90" s="68"/>
      <c r="J90" s="71"/>
      <c r="K90" s="72"/>
      <c r="L90" s="75"/>
      <c r="M90" s="76"/>
      <c r="N90" s="79"/>
      <c r="O90" s="80"/>
    </row>
    <row r="91" spans="2:15" x14ac:dyDescent="0.25">
      <c r="B91" s="59"/>
      <c r="C91" s="60"/>
      <c r="D91" s="63"/>
      <c r="E91" s="64"/>
      <c r="F91" s="63"/>
      <c r="G91" s="64"/>
      <c r="H91" s="67"/>
      <c r="I91" s="68"/>
      <c r="J91" s="71"/>
      <c r="K91" s="72"/>
      <c r="L91" s="75"/>
      <c r="M91" s="76"/>
      <c r="N91" s="79"/>
      <c r="O91" s="80"/>
    </row>
    <row r="92" spans="2:15" x14ac:dyDescent="0.25">
      <c r="B92" s="59"/>
      <c r="C92" s="60"/>
      <c r="D92" s="63"/>
      <c r="E92" s="64"/>
      <c r="F92" s="63"/>
      <c r="G92" s="64"/>
      <c r="H92" s="67"/>
      <c r="I92" s="68"/>
      <c r="J92" s="71"/>
      <c r="K92" s="72"/>
      <c r="L92" s="75"/>
      <c r="M92" s="76"/>
      <c r="N92" s="79"/>
      <c r="O92" s="80"/>
    </row>
    <row r="93" spans="2:15" x14ac:dyDescent="0.25">
      <c r="B93" s="59"/>
      <c r="C93" s="60"/>
      <c r="D93" s="63"/>
      <c r="E93" s="64"/>
      <c r="F93" s="63"/>
      <c r="G93" s="64"/>
      <c r="H93" s="67"/>
      <c r="I93" s="68"/>
      <c r="J93" s="71"/>
      <c r="K93" s="72"/>
      <c r="L93" s="75"/>
      <c r="M93" s="76"/>
      <c r="N93" s="79"/>
      <c r="O93" s="80"/>
    </row>
    <row r="94" spans="2:15" x14ac:dyDescent="0.25">
      <c r="B94" s="59"/>
      <c r="C94" s="60"/>
      <c r="D94" s="63"/>
      <c r="E94" s="64"/>
      <c r="F94" s="63"/>
      <c r="G94" s="64"/>
      <c r="H94" s="67"/>
      <c r="I94" s="68"/>
      <c r="J94" s="71"/>
      <c r="K94" s="72"/>
      <c r="L94" s="75"/>
      <c r="M94" s="76"/>
      <c r="N94" s="79"/>
      <c r="O94" s="80"/>
    </row>
    <row r="95" spans="2:15" x14ac:dyDescent="0.25">
      <c r="B95" s="59"/>
      <c r="C95" s="60"/>
      <c r="D95" s="63"/>
      <c r="E95" s="64"/>
      <c r="F95" s="63"/>
      <c r="G95" s="64"/>
      <c r="H95" s="67"/>
      <c r="I95" s="68"/>
      <c r="J95" s="71"/>
      <c r="K95" s="72"/>
      <c r="L95" s="75"/>
      <c r="M95" s="76"/>
      <c r="N95" s="79"/>
      <c r="O95" s="80"/>
    </row>
    <row r="96" spans="2:15" x14ac:dyDescent="0.25">
      <c r="B96" s="59"/>
      <c r="C96" s="60"/>
      <c r="D96" s="63"/>
      <c r="E96" s="64"/>
      <c r="F96" s="63"/>
      <c r="G96" s="64"/>
      <c r="H96" s="67"/>
      <c r="I96" s="68"/>
      <c r="J96" s="71"/>
      <c r="K96" s="72"/>
      <c r="L96" s="75"/>
      <c r="M96" s="76"/>
      <c r="N96" s="79"/>
      <c r="O96" s="80"/>
    </row>
    <row r="97" spans="2:15" x14ac:dyDescent="0.25">
      <c r="B97" s="59"/>
      <c r="C97" s="60"/>
      <c r="D97" s="63"/>
      <c r="E97" s="64"/>
      <c r="F97" s="63"/>
      <c r="G97" s="64"/>
      <c r="H97" s="67"/>
      <c r="I97" s="68"/>
      <c r="J97" s="71"/>
      <c r="K97" s="72"/>
      <c r="L97" s="75"/>
      <c r="M97" s="76"/>
      <c r="N97" s="79"/>
      <c r="O97" s="80"/>
    </row>
    <row r="98" spans="2:15" x14ac:dyDescent="0.25">
      <c r="B98" s="59"/>
      <c r="C98" s="60"/>
      <c r="D98" s="63"/>
      <c r="E98" s="64"/>
      <c r="F98" s="63"/>
      <c r="G98" s="64"/>
      <c r="H98" s="67"/>
      <c r="I98" s="68"/>
      <c r="J98" s="71"/>
      <c r="K98" s="72"/>
      <c r="L98" s="75"/>
      <c r="M98" s="76"/>
      <c r="N98" s="79"/>
      <c r="O98" s="80"/>
    </row>
    <row r="99" spans="2:15" x14ac:dyDescent="0.25">
      <c r="B99" s="59"/>
      <c r="C99" s="60"/>
      <c r="D99" s="63"/>
      <c r="E99" s="64"/>
      <c r="F99" s="63"/>
      <c r="G99" s="64"/>
      <c r="H99" s="67"/>
      <c r="I99" s="68"/>
      <c r="J99" s="71"/>
      <c r="K99" s="72"/>
      <c r="L99" s="75"/>
      <c r="M99" s="76"/>
      <c r="N99" s="79"/>
      <c r="O99" s="80"/>
    </row>
    <row r="100" spans="2:15" x14ac:dyDescent="0.25">
      <c r="B100" s="59"/>
      <c r="C100" s="60"/>
      <c r="D100" s="63"/>
      <c r="E100" s="64"/>
      <c r="F100" s="63"/>
      <c r="G100" s="64"/>
      <c r="H100" s="67"/>
      <c r="I100" s="68"/>
      <c r="J100" s="71"/>
      <c r="K100" s="72"/>
      <c r="L100" s="75"/>
      <c r="M100" s="76"/>
      <c r="N100" s="79"/>
      <c r="O100" s="80"/>
    </row>
    <row r="101" spans="2:15" x14ac:dyDescent="0.25">
      <c r="B101" s="59"/>
      <c r="C101" s="60"/>
      <c r="D101" s="63"/>
      <c r="E101" s="64"/>
      <c r="F101" s="63"/>
      <c r="G101" s="64"/>
      <c r="H101" s="67"/>
      <c r="I101" s="68"/>
      <c r="J101" s="71"/>
      <c r="K101" s="72"/>
      <c r="L101" s="75"/>
      <c r="M101" s="76"/>
      <c r="N101" s="79"/>
      <c r="O101" s="80"/>
    </row>
    <row r="102" spans="2:15" x14ac:dyDescent="0.25">
      <c r="B102" s="59"/>
      <c r="C102" s="60"/>
      <c r="D102" s="63"/>
      <c r="E102" s="64"/>
      <c r="F102" s="63"/>
      <c r="G102" s="64"/>
      <c r="H102" s="67"/>
      <c r="I102" s="68"/>
      <c r="J102" s="71"/>
      <c r="K102" s="72"/>
      <c r="L102" s="75"/>
      <c r="M102" s="76"/>
      <c r="N102" s="79"/>
      <c r="O102" s="80"/>
    </row>
    <row r="103" spans="2:15" x14ac:dyDescent="0.25">
      <c r="B103" s="59"/>
      <c r="C103" s="60"/>
      <c r="D103" s="63"/>
      <c r="E103" s="64"/>
      <c r="F103" s="63"/>
      <c r="G103" s="64"/>
      <c r="H103" s="67"/>
      <c r="I103" s="68"/>
      <c r="J103" s="71"/>
      <c r="K103" s="72"/>
      <c r="L103" s="75"/>
      <c r="M103" s="76"/>
      <c r="N103" s="79"/>
      <c r="O103" s="80"/>
    </row>
    <row r="104" spans="2:15" x14ac:dyDescent="0.25">
      <c r="B104" s="59"/>
      <c r="C104" s="60"/>
      <c r="D104" s="63"/>
      <c r="E104" s="64"/>
      <c r="F104" s="63"/>
      <c r="G104" s="64"/>
      <c r="H104" s="67"/>
      <c r="I104" s="68"/>
      <c r="J104" s="71"/>
      <c r="K104" s="72"/>
      <c r="L104" s="75"/>
      <c r="M104" s="76"/>
      <c r="N104" s="79"/>
      <c r="O104" s="80"/>
    </row>
    <row r="105" spans="2:15" x14ac:dyDescent="0.25">
      <c r="B105" s="59"/>
      <c r="C105" s="60"/>
      <c r="D105" s="63"/>
      <c r="E105" s="64"/>
      <c r="F105" s="63"/>
      <c r="G105" s="64"/>
      <c r="H105" s="67"/>
      <c r="I105" s="68"/>
      <c r="J105" s="71"/>
      <c r="K105" s="72"/>
      <c r="L105" s="75"/>
      <c r="M105" s="76"/>
      <c r="N105" s="79"/>
      <c r="O105" s="80"/>
    </row>
    <row r="106" spans="2:15" x14ac:dyDescent="0.25">
      <c r="B106" s="59"/>
      <c r="C106" s="60"/>
      <c r="D106" s="63"/>
      <c r="E106" s="64"/>
      <c r="F106" s="63"/>
      <c r="G106" s="64"/>
      <c r="H106" s="67"/>
      <c r="I106" s="68"/>
      <c r="J106" s="71"/>
      <c r="K106" s="72"/>
      <c r="L106" s="75"/>
      <c r="M106" s="76"/>
      <c r="N106" s="79"/>
      <c r="O106" s="80"/>
    </row>
    <row r="107" spans="2:15" x14ac:dyDescent="0.25">
      <c r="B107" s="59"/>
      <c r="C107" s="60"/>
      <c r="D107" s="63"/>
      <c r="E107" s="64"/>
      <c r="F107" s="63"/>
      <c r="G107" s="64"/>
      <c r="H107" s="67"/>
      <c r="I107" s="68"/>
      <c r="J107" s="71"/>
      <c r="K107" s="72"/>
      <c r="L107" s="75"/>
      <c r="M107" s="76"/>
      <c r="N107" s="79"/>
      <c r="O107" s="80"/>
    </row>
    <row r="108" spans="2:15" x14ac:dyDescent="0.25">
      <c r="B108" s="59"/>
      <c r="C108" s="60"/>
      <c r="D108" s="63"/>
      <c r="E108" s="64"/>
      <c r="F108" s="63"/>
      <c r="G108" s="64"/>
      <c r="H108" s="67"/>
      <c r="I108" s="68"/>
      <c r="J108" s="71"/>
      <c r="K108" s="72"/>
      <c r="L108" s="75"/>
      <c r="M108" s="76"/>
      <c r="N108" s="79"/>
      <c r="O108" s="80"/>
    </row>
    <row r="109" spans="2:15" x14ac:dyDescent="0.25">
      <c r="B109" s="59"/>
      <c r="C109" s="60"/>
      <c r="D109" s="63"/>
      <c r="E109" s="64"/>
      <c r="F109" s="63"/>
      <c r="G109" s="64"/>
      <c r="H109" s="67"/>
      <c r="I109" s="68"/>
      <c r="J109" s="71"/>
      <c r="K109" s="72"/>
      <c r="L109" s="75"/>
      <c r="M109" s="76"/>
      <c r="N109" s="79"/>
      <c r="O109" s="80"/>
    </row>
    <row r="110" spans="2:15" x14ac:dyDescent="0.25">
      <c r="B110" s="59"/>
      <c r="C110" s="60"/>
      <c r="D110" s="63"/>
      <c r="E110" s="64"/>
      <c r="F110" s="63"/>
      <c r="G110" s="64"/>
      <c r="H110" s="67"/>
      <c r="I110" s="68"/>
      <c r="J110" s="71"/>
      <c r="K110" s="72"/>
      <c r="L110" s="75"/>
      <c r="M110" s="76"/>
      <c r="N110" s="79"/>
      <c r="O110" s="80"/>
    </row>
    <row r="111" spans="2:15" x14ac:dyDescent="0.25">
      <c r="B111" s="59"/>
      <c r="C111" s="60"/>
      <c r="D111" s="63"/>
      <c r="E111" s="64"/>
      <c r="F111" s="63"/>
      <c r="G111" s="64"/>
      <c r="H111" s="67"/>
      <c r="I111" s="68"/>
      <c r="J111" s="71"/>
      <c r="K111" s="72"/>
      <c r="L111" s="75"/>
      <c r="M111" s="76"/>
      <c r="N111" s="79"/>
      <c r="O111" s="80"/>
    </row>
    <row r="112" spans="2:15" x14ac:dyDescent="0.25">
      <c r="B112" s="59"/>
      <c r="C112" s="60"/>
      <c r="D112" s="63"/>
      <c r="E112" s="64"/>
      <c r="F112" s="63"/>
      <c r="G112" s="64"/>
      <c r="H112" s="67"/>
      <c r="I112" s="68"/>
      <c r="J112" s="71"/>
      <c r="K112" s="72"/>
      <c r="L112" s="75"/>
      <c r="M112" s="76"/>
      <c r="N112" s="79"/>
      <c r="O112" s="80"/>
    </row>
    <row r="113" spans="2:15" x14ac:dyDescent="0.25">
      <c r="B113" s="59"/>
      <c r="C113" s="60"/>
      <c r="D113" s="63"/>
      <c r="E113" s="64"/>
      <c r="F113" s="63"/>
      <c r="G113" s="64"/>
      <c r="H113" s="67"/>
      <c r="I113" s="68"/>
      <c r="J113" s="71"/>
      <c r="K113" s="72"/>
      <c r="L113" s="75"/>
      <c r="M113" s="76"/>
      <c r="N113" s="79"/>
      <c r="O113" s="80"/>
    </row>
    <row r="114" spans="2:15" x14ac:dyDescent="0.25">
      <c r="B114" s="59"/>
      <c r="C114" s="60"/>
      <c r="D114" s="63"/>
      <c r="E114" s="64"/>
      <c r="F114" s="63"/>
      <c r="G114" s="64"/>
      <c r="H114" s="67"/>
      <c r="I114" s="68"/>
      <c r="J114" s="71"/>
      <c r="K114" s="72"/>
      <c r="L114" s="75"/>
      <c r="M114" s="76"/>
      <c r="N114" s="79"/>
      <c r="O114" s="80"/>
    </row>
    <row r="115" spans="2:15" x14ac:dyDescent="0.25">
      <c r="B115" s="59"/>
      <c r="C115" s="60"/>
      <c r="D115" s="63"/>
      <c r="E115" s="64"/>
      <c r="F115" s="63"/>
      <c r="G115" s="64"/>
      <c r="H115" s="67"/>
      <c r="I115" s="68"/>
      <c r="J115" s="71"/>
      <c r="K115" s="72"/>
      <c r="L115" s="75"/>
      <c r="M115" s="76"/>
      <c r="N115" s="79"/>
      <c r="O115" s="80"/>
    </row>
    <row r="116" spans="2:15" x14ac:dyDescent="0.25">
      <c r="B116" s="59"/>
      <c r="C116" s="60"/>
      <c r="D116" s="63"/>
      <c r="E116" s="64"/>
      <c r="F116" s="63"/>
      <c r="G116" s="64"/>
      <c r="H116" s="67"/>
      <c r="I116" s="68"/>
      <c r="J116" s="71"/>
      <c r="K116" s="72"/>
      <c r="L116" s="75"/>
      <c r="M116" s="76"/>
      <c r="N116" s="79"/>
      <c r="O116" s="80"/>
    </row>
    <row r="117" spans="2:15" x14ac:dyDescent="0.25">
      <c r="B117" s="59"/>
      <c r="C117" s="60"/>
      <c r="D117" s="63"/>
      <c r="E117" s="64"/>
      <c r="F117" s="63"/>
      <c r="G117" s="64"/>
      <c r="H117" s="67"/>
      <c r="I117" s="68"/>
      <c r="J117" s="71"/>
      <c r="K117" s="72"/>
      <c r="L117" s="75"/>
      <c r="M117" s="76"/>
      <c r="N117" s="79"/>
      <c r="O117" s="80"/>
    </row>
    <row r="118" spans="2:15" x14ac:dyDescent="0.25">
      <c r="B118" s="59"/>
      <c r="C118" s="60"/>
      <c r="D118" s="63"/>
      <c r="E118" s="64"/>
      <c r="F118" s="63"/>
      <c r="G118" s="64"/>
      <c r="H118" s="67"/>
      <c r="I118" s="68"/>
      <c r="J118" s="71"/>
      <c r="K118" s="72"/>
      <c r="L118" s="75"/>
      <c r="M118" s="76"/>
      <c r="N118" s="79"/>
      <c r="O118" s="80"/>
    </row>
    <row r="119" spans="2:15" x14ac:dyDescent="0.25">
      <c r="B119" s="59"/>
      <c r="C119" s="60"/>
      <c r="D119" s="63"/>
      <c r="E119" s="64"/>
      <c r="F119" s="63"/>
      <c r="G119" s="64"/>
      <c r="H119" s="67"/>
      <c r="I119" s="68"/>
      <c r="J119" s="71"/>
      <c r="K119" s="72"/>
      <c r="L119" s="75"/>
      <c r="M119" s="76"/>
      <c r="N119" s="79"/>
      <c r="O119" s="80"/>
    </row>
    <row r="120" spans="2:15" x14ac:dyDescent="0.25">
      <c r="B120" s="59"/>
      <c r="C120" s="60"/>
      <c r="D120" s="63"/>
      <c r="E120" s="64"/>
      <c r="F120" s="63"/>
      <c r="G120" s="64"/>
      <c r="H120" s="67"/>
      <c r="I120" s="68"/>
      <c r="J120" s="71"/>
      <c r="K120" s="72"/>
      <c r="L120" s="75"/>
      <c r="M120" s="76"/>
      <c r="N120" s="79"/>
      <c r="O120" s="80"/>
    </row>
    <row r="121" spans="2:15" x14ac:dyDescent="0.25">
      <c r="B121" s="59"/>
      <c r="C121" s="60"/>
      <c r="D121" s="63"/>
      <c r="E121" s="64"/>
      <c r="F121" s="63"/>
      <c r="G121" s="64"/>
      <c r="H121" s="67"/>
      <c r="I121" s="68"/>
      <c r="J121" s="71"/>
      <c r="K121" s="72"/>
      <c r="L121" s="75"/>
      <c r="M121" s="76"/>
      <c r="N121" s="79"/>
      <c r="O121" s="80"/>
    </row>
    <row r="122" spans="2:15" x14ac:dyDescent="0.25">
      <c r="B122" s="59"/>
      <c r="C122" s="60"/>
      <c r="D122" s="63"/>
      <c r="E122" s="64"/>
      <c r="F122" s="63"/>
      <c r="G122" s="64"/>
      <c r="H122" s="67"/>
      <c r="I122" s="68"/>
      <c r="J122" s="71"/>
      <c r="K122" s="72"/>
      <c r="L122" s="75"/>
      <c r="M122" s="76"/>
      <c r="N122" s="79"/>
      <c r="O122" s="80"/>
    </row>
    <row r="123" spans="2:15" x14ac:dyDescent="0.25">
      <c r="B123" s="59"/>
      <c r="C123" s="60"/>
      <c r="D123" s="63"/>
      <c r="E123" s="64"/>
      <c r="F123" s="63"/>
      <c r="G123" s="64"/>
      <c r="H123" s="67"/>
      <c r="I123" s="68"/>
      <c r="J123" s="71"/>
      <c r="K123" s="72"/>
      <c r="L123" s="75"/>
      <c r="M123" s="76"/>
      <c r="N123" s="79"/>
      <c r="O123" s="80"/>
    </row>
    <row r="124" spans="2:15" x14ac:dyDescent="0.25">
      <c r="B124" s="59"/>
      <c r="C124" s="60"/>
      <c r="D124" s="63"/>
      <c r="E124" s="64"/>
      <c r="F124" s="63"/>
      <c r="G124" s="64"/>
      <c r="H124" s="67"/>
      <c r="I124" s="68"/>
      <c r="J124" s="71"/>
      <c r="K124" s="72"/>
      <c r="L124" s="75"/>
      <c r="M124" s="76"/>
      <c r="N124" s="79"/>
      <c r="O124" s="80"/>
    </row>
    <row r="125" spans="2:15" x14ac:dyDescent="0.25">
      <c r="B125" s="59"/>
      <c r="C125" s="60"/>
      <c r="D125" s="63"/>
      <c r="E125" s="64"/>
      <c r="F125" s="63"/>
      <c r="G125" s="64"/>
      <c r="H125" s="67"/>
      <c r="I125" s="68"/>
      <c r="J125" s="71"/>
      <c r="K125" s="72"/>
      <c r="L125" s="75"/>
      <c r="M125" s="76"/>
      <c r="N125" s="79"/>
      <c r="O125" s="80"/>
    </row>
    <row r="126" spans="2:15" x14ac:dyDescent="0.25">
      <c r="B126" s="59"/>
      <c r="C126" s="60"/>
      <c r="D126" s="63"/>
      <c r="E126" s="64"/>
      <c r="F126" s="63"/>
      <c r="G126" s="64"/>
      <c r="H126" s="67"/>
      <c r="I126" s="68"/>
      <c r="J126" s="71"/>
      <c r="K126" s="72"/>
      <c r="L126" s="75"/>
      <c r="M126" s="76"/>
      <c r="N126" s="79"/>
      <c r="O126" s="80"/>
    </row>
    <row r="127" spans="2:15" x14ac:dyDescent="0.25">
      <c r="B127" s="59"/>
      <c r="C127" s="60"/>
      <c r="D127" s="63"/>
      <c r="E127" s="64"/>
      <c r="F127" s="63"/>
      <c r="G127" s="64"/>
      <c r="H127" s="67"/>
      <c r="I127" s="68"/>
      <c r="J127" s="71"/>
      <c r="K127" s="72"/>
      <c r="L127" s="75"/>
      <c r="M127" s="76"/>
      <c r="N127" s="79"/>
      <c r="O127" s="80"/>
    </row>
    <row r="128" spans="2:15" x14ac:dyDescent="0.25">
      <c r="B128" s="59"/>
      <c r="C128" s="60"/>
      <c r="D128" s="63"/>
      <c r="E128" s="64"/>
      <c r="F128" s="63"/>
      <c r="G128" s="64"/>
      <c r="H128" s="67"/>
      <c r="I128" s="68"/>
      <c r="J128" s="71"/>
      <c r="K128" s="72"/>
      <c r="L128" s="75"/>
      <c r="M128" s="76"/>
      <c r="N128" s="79"/>
      <c r="O128" s="80"/>
    </row>
    <row r="129" spans="2:15" x14ac:dyDescent="0.25">
      <c r="B129" s="59"/>
      <c r="C129" s="60"/>
      <c r="D129" s="63"/>
      <c r="E129" s="64"/>
      <c r="F129" s="63"/>
      <c r="G129" s="64"/>
      <c r="H129" s="67"/>
      <c r="I129" s="68"/>
      <c r="J129" s="71"/>
      <c r="K129" s="72"/>
      <c r="L129" s="75"/>
      <c r="M129" s="76"/>
      <c r="N129" s="79"/>
      <c r="O129" s="80"/>
    </row>
    <row r="130" spans="2:15" x14ac:dyDescent="0.25">
      <c r="B130" s="59"/>
      <c r="C130" s="60"/>
      <c r="D130" s="63"/>
      <c r="E130" s="64"/>
      <c r="F130" s="63"/>
      <c r="G130" s="64"/>
      <c r="H130" s="67"/>
      <c r="I130" s="68"/>
      <c r="J130" s="71"/>
      <c r="K130" s="72"/>
      <c r="L130" s="75"/>
      <c r="M130" s="76"/>
      <c r="N130" s="79"/>
      <c r="O130" s="80"/>
    </row>
    <row r="131" spans="2:15" x14ac:dyDescent="0.25">
      <c r="B131" s="59"/>
      <c r="C131" s="60"/>
      <c r="D131" s="63"/>
      <c r="E131" s="64"/>
      <c r="F131" s="63"/>
      <c r="G131" s="64"/>
      <c r="H131" s="67"/>
      <c r="I131" s="68"/>
      <c r="J131" s="71"/>
      <c r="K131" s="72"/>
      <c r="L131" s="75"/>
      <c r="M131" s="76"/>
      <c r="N131" s="79"/>
      <c r="O131" s="80"/>
    </row>
    <row r="132" spans="2:15" x14ac:dyDescent="0.25">
      <c r="B132" s="61"/>
      <c r="C132" s="62"/>
      <c r="D132" s="65"/>
      <c r="E132" s="66"/>
      <c r="F132" s="65"/>
      <c r="G132" s="66"/>
      <c r="H132" s="69"/>
      <c r="I132" s="70"/>
      <c r="J132" s="73"/>
      <c r="K132" s="74"/>
      <c r="L132" s="77"/>
      <c r="M132" s="78"/>
      <c r="N132" s="81"/>
      <c r="O132" s="82"/>
    </row>
  </sheetData>
  <mergeCells count="8">
    <mergeCell ref="B1:O1"/>
    <mergeCell ref="F2:G2"/>
    <mergeCell ref="B2:C2"/>
    <mergeCell ref="D2:E2"/>
    <mergeCell ref="H2:I2"/>
    <mergeCell ref="J2:K2"/>
    <mergeCell ref="L2:M2"/>
    <mergeCell ref="N2:O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37A97-4802-46B9-9F6E-2077885C5156}">
  <dimension ref="A1:C1103"/>
  <sheetViews>
    <sheetView topLeftCell="A1077" workbookViewId="0">
      <selection activeCell="A1086" sqref="A1086"/>
    </sheetView>
  </sheetViews>
  <sheetFormatPr defaultRowHeight="15" x14ac:dyDescent="0.25"/>
  <cols>
    <col min="1" max="1" width="137.42578125" bestFit="1" customWidth="1"/>
    <col min="2" max="2" width="40" bestFit="1" customWidth="1"/>
  </cols>
  <sheetData>
    <row r="1" spans="1:2" x14ac:dyDescent="0.25">
      <c r="A1" t="s">
        <v>2625</v>
      </c>
      <c r="B1" s="1" t="s">
        <v>3302</v>
      </c>
    </row>
    <row r="2" spans="1:2" x14ac:dyDescent="0.25">
      <c r="A2" t="s">
        <v>2626</v>
      </c>
    </row>
    <row r="3" spans="1:2" x14ac:dyDescent="0.25">
      <c r="A3" t="s">
        <v>2627</v>
      </c>
    </row>
    <row r="4" spans="1:2" x14ac:dyDescent="0.25">
      <c r="A4" t="s">
        <v>2628</v>
      </c>
    </row>
    <row r="5" spans="1:2" x14ac:dyDescent="0.25">
      <c r="A5" t="s">
        <v>2629</v>
      </c>
    </row>
    <row r="6" spans="1:2" x14ac:dyDescent="0.25">
      <c r="A6" t="s">
        <v>2630</v>
      </c>
    </row>
    <row r="7" spans="1:2" x14ac:dyDescent="0.25">
      <c r="A7" t="s">
        <v>2631</v>
      </c>
    </row>
    <row r="8" spans="1:2" x14ac:dyDescent="0.25">
      <c r="A8" t="s">
        <v>2632</v>
      </c>
    </row>
    <row r="9" spans="1:2" x14ac:dyDescent="0.25">
      <c r="A9" t="s">
        <v>2633</v>
      </c>
    </row>
    <row r="10" spans="1:2" x14ac:dyDescent="0.25">
      <c r="A10" t="s">
        <v>2634</v>
      </c>
    </row>
    <row r="11" spans="1:2" x14ac:dyDescent="0.25">
      <c r="A11" t="s">
        <v>2635</v>
      </c>
    </row>
    <row r="12" spans="1:2" x14ac:dyDescent="0.25">
      <c r="A12" t="s">
        <v>2636</v>
      </c>
    </row>
    <row r="13" spans="1:2" x14ac:dyDescent="0.25">
      <c r="A13" t="s">
        <v>2637</v>
      </c>
    </row>
    <row r="14" spans="1:2" x14ac:dyDescent="0.25">
      <c r="A14" t="s">
        <v>2638</v>
      </c>
    </row>
    <row r="15" spans="1:2" x14ac:dyDescent="0.25">
      <c r="A15" t="s">
        <v>2639</v>
      </c>
    </row>
    <row r="16" spans="1:2" x14ac:dyDescent="0.25">
      <c r="A16" t="s">
        <v>2640</v>
      </c>
    </row>
    <row r="17" spans="1:3" x14ac:dyDescent="0.25">
      <c r="A17" t="s">
        <v>2641</v>
      </c>
    </row>
    <row r="18" spans="1:3" x14ac:dyDescent="0.25">
      <c r="A18" t="s">
        <v>2642</v>
      </c>
    </row>
    <row r="19" spans="1:3" x14ac:dyDescent="0.25">
      <c r="A19" t="s">
        <v>2643</v>
      </c>
    </row>
    <row r="20" spans="1:3" x14ac:dyDescent="0.25">
      <c r="A20" t="s">
        <v>2644</v>
      </c>
    </row>
    <row r="21" spans="1:3" x14ac:dyDescent="0.25">
      <c r="A21" t="s">
        <v>2645</v>
      </c>
    </row>
    <row r="22" spans="1:3" x14ac:dyDescent="0.25">
      <c r="A22" t="s">
        <v>2646</v>
      </c>
      <c r="B22" t="s">
        <v>3303</v>
      </c>
      <c r="C22" t="s">
        <v>3304</v>
      </c>
    </row>
    <row r="23" spans="1:3" x14ac:dyDescent="0.25">
      <c r="A23" t="s">
        <v>2647</v>
      </c>
    </row>
    <row r="24" spans="1:3" x14ac:dyDescent="0.25">
      <c r="A24" t="s">
        <v>2648</v>
      </c>
      <c r="B24" t="s">
        <v>3303</v>
      </c>
      <c r="C24" t="s">
        <v>3304</v>
      </c>
    </row>
    <row r="25" spans="1:3" x14ac:dyDescent="0.25">
      <c r="A25" t="s">
        <v>2649</v>
      </c>
    </row>
    <row r="26" spans="1:3" x14ac:dyDescent="0.25">
      <c r="A26" t="s">
        <v>2650</v>
      </c>
    </row>
    <row r="27" spans="1:3" x14ac:dyDescent="0.25">
      <c r="A27" t="s">
        <v>2651</v>
      </c>
      <c r="B27" t="s">
        <v>3305</v>
      </c>
      <c r="C27" t="s">
        <v>3304</v>
      </c>
    </row>
    <row r="28" spans="1:3" x14ac:dyDescent="0.25">
      <c r="A28" t="s">
        <v>2652</v>
      </c>
      <c r="B28" t="s">
        <v>3306</v>
      </c>
      <c r="C28" t="s">
        <v>3304</v>
      </c>
    </row>
    <row r="29" spans="1:3" x14ac:dyDescent="0.25">
      <c r="A29" t="s">
        <v>2653</v>
      </c>
    </row>
    <row r="30" spans="1:3" x14ac:dyDescent="0.25">
      <c r="A30" t="s">
        <v>2654</v>
      </c>
    </row>
    <row r="31" spans="1:3" x14ac:dyDescent="0.25">
      <c r="A31" t="s">
        <v>2655</v>
      </c>
    </row>
    <row r="32" spans="1:3" x14ac:dyDescent="0.25">
      <c r="A32" t="s">
        <v>2656</v>
      </c>
    </row>
    <row r="33" spans="1:2" x14ac:dyDescent="0.25">
      <c r="A33" t="s">
        <v>2657</v>
      </c>
    </row>
    <row r="34" spans="1:2" x14ac:dyDescent="0.25">
      <c r="A34" t="s">
        <v>2647</v>
      </c>
    </row>
    <row r="35" spans="1:2" x14ac:dyDescent="0.25">
      <c r="A35" t="s">
        <v>2658</v>
      </c>
    </row>
    <row r="36" spans="1:2" x14ac:dyDescent="0.25">
      <c r="A36" t="s">
        <v>2659</v>
      </c>
      <c r="B36" t="s">
        <v>3316</v>
      </c>
    </row>
    <row r="37" spans="1:2" x14ac:dyDescent="0.25">
      <c r="A37" t="s">
        <v>2660</v>
      </c>
    </row>
    <row r="38" spans="1:2" x14ac:dyDescent="0.25">
      <c r="A38" t="s">
        <v>2661</v>
      </c>
    </row>
    <row r="39" spans="1:2" x14ac:dyDescent="0.25">
      <c r="A39" t="s">
        <v>2662</v>
      </c>
    </row>
    <row r="40" spans="1:2" x14ac:dyDescent="0.25">
      <c r="A40" t="s">
        <v>2663</v>
      </c>
    </row>
    <row r="41" spans="1:2" x14ac:dyDescent="0.25">
      <c r="A41" t="s">
        <v>2664</v>
      </c>
    </row>
    <row r="42" spans="1:2" x14ac:dyDescent="0.25">
      <c r="A42" t="s">
        <v>2665</v>
      </c>
    </row>
    <row r="43" spans="1:2" x14ac:dyDescent="0.25">
      <c r="A43" t="s">
        <v>2666</v>
      </c>
    </row>
    <row r="44" spans="1:2" x14ac:dyDescent="0.25">
      <c r="A44" t="s">
        <v>2667</v>
      </c>
    </row>
    <row r="45" spans="1:2" x14ac:dyDescent="0.25">
      <c r="A45" t="s">
        <v>2668</v>
      </c>
    </row>
    <row r="46" spans="1:2" x14ac:dyDescent="0.25">
      <c r="A46" t="s">
        <v>2669</v>
      </c>
    </row>
    <row r="47" spans="1:2" x14ac:dyDescent="0.25">
      <c r="A47" t="s">
        <v>2670</v>
      </c>
    </row>
    <row r="48" spans="1:2" x14ac:dyDescent="0.25">
      <c r="A48" t="s">
        <v>2671</v>
      </c>
    </row>
    <row r="49" spans="1:1" x14ac:dyDescent="0.25">
      <c r="A49" t="s">
        <v>2672</v>
      </c>
    </row>
    <row r="50" spans="1:1" x14ac:dyDescent="0.25">
      <c r="A50" t="s">
        <v>2673</v>
      </c>
    </row>
    <row r="51" spans="1:1" x14ac:dyDescent="0.25">
      <c r="A51" t="s">
        <v>2674</v>
      </c>
    </row>
    <row r="52" spans="1:1" x14ac:dyDescent="0.25">
      <c r="A52" t="s">
        <v>2675</v>
      </c>
    </row>
    <row r="53" spans="1:1" x14ac:dyDescent="0.25">
      <c r="A53" t="s">
        <v>2649</v>
      </c>
    </row>
    <row r="54" spans="1:1" x14ac:dyDescent="0.25">
      <c r="A54" t="s">
        <v>2650</v>
      </c>
    </row>
    <row r="55" spans="1:1" x14ac:dyDescent="0.25">
      <c r="A55" t="s">
        <v>2676</v>
      </c>
    </row>
    <row r="56" spans="1:1" x14ac:dyDescent="0.25">
      <c r="A56" t="s">
        <v>2647</v>
      </c>
    </row>
    <row r="57" spans="1:1" x14ac:dyDescent="0.25">
      <c r="A57" t="s">
        <v>2677</v>
      </c>
    </row>
    <row r="58" spans="1:1" x14ac:dyDescent="0.25">
      <c r="A58" t="s">
        <v>2678</v>
      </c>
    </row>
    <row r="59" spans="1:1" x14ac:dyDescent="0.25">
      <c r="A59" t="s">
        <v>2679</v>
      </c>
    </row>
    <row r="60" spans="1:1" x14ac:dyDescent="0.25">
      <c r="A60" t="s">
        <v>2680</v>
      </c>
    </row>
    <row r="61" spans="1:1" x14ac:dyDescent="0.25">
      <c r="A61" t="s">
        <v>2681</v>
      </c>
    </row>
    <row r="62" spans="1:1" x14ac:dyDescent="0.25">
      <c r="A62" t="s">
        <v>2663</v>
      </c>
    </row>
    <row r="63" spans="1:1" x14ac:dyDescent="0.25">
      <c r="A63" t="s">
        <v>2682</v>
      </c>
    </row>
    <row r="64" spans="1:1" x14ac:dyDescent="0.25">
      <c r="A64" t="s">
        <v>2683</v>
      </c>
    </row>
    <row r="65" spans="1:3" x14ac:dyDescent="0.25">
      <c r="A65" t="s">
        <v>2649</v>
      </c>
    </row>
    <row r="66" spans="1:3" x14ac:dyDescent="0.25">
      <c r="A66" t="s">
        <v>2684</v>
      </c>
    </row>
    <row r="67" spans="1:3" x14ac:dyDescent="0.25">
      <c r="A67" t="s">
        <v>2655</v>
      </c>
    </row>
    <row r="68" spans="1:3" x14ac:dyDescent="0.25">
      <c r="A68" t="s">
        <v>2685</v>
      </c>
    </row>
    <row r="69" spans="1:3" x14ac:dyDescent="0.25">
      <c r="A69" t="s">
        <v>2686</v>
      </c>
    </row>
    <row r="70" spans="1:3" x14ac:dyDescent="0.25">
      <c r="A70" t="s">
        <v>2687</v>
      </c>
    </row>
    <row r="71" spans="1:3" x14ac:dyDescent="0.25">
      <c r="A71" t="s">
        <v>2688</v>
      </c>
    </row>
    <row r="72" spans="1:3" x14ac:dyDescent="0.25">
      <c r="A72" t="s">
        <v>2689</v>
      </c>
    </row>
    <row r="73" spans="1:3" x14ac:dyDescent="0.25">
      <c r="A73" t="s">
        <v>2690</v>
      </c>
    </row>
    <row r="74" spans="1:3" x14ac:dyDescent="0.25">
      <c r="A74" t="s">
        <v>2691</v>
      </c>
    </row>
    <row r="75" spans="1:3" x14ac:dyDescent="0.25">
      <c r="A75" t="s">
        <v>2692</v>
      </c>
    </row>
    <row r="76" spans="1:3" x14ac:dyDescent="0.25">
      <c r="A76" t="s">
        <v>2693</v>
      </c>
    </row>
    <row r="77" spans="1:3" x14ac:dyDescent="0.25">
      <c r="A77" t="s">
        <v>2694</v>
      </c>
      <c r="B77" t="s">
        <v>3307</v>
      </c>
      <c r="C77" t="s">
        <v>3304</v>
      </c>
    </row>
    <row r="78" spans="1:3" x14ac:dyDescent="0.25">
      <c r="A78" t="s">
        <v>2686</v>
      </c>
    </row>
    <row r="79" spans="1:3" x14ac:dyDescent="0.25">
      <c r="A79" t="s">
        <v>2695</v>
      </c>
    </row>
    <row r="80" spans="1:3" x14ac:dyDescent="0.25">
      <c r="A80" t="s">
        <v>2687</v>
      </c>
    </row>
    <row r="81" spans="1:3" x14ac:dyDescent="0.25">
      <c r="A81" t="s">
        <v>2688</v>
      </c>
    </row>
    <row r="82" spans="1:3" x14ac:dyDescent="0.25">
      <c r="A82" t="s">
        <v>2696</v>
      </c>
    </row>
    <row r="83" spans="1:3" x14ac:dyDescent="0.25">
      <c r="A83" t="s">
        <v>2697</v>
      </c>
    </row>
    <row r="84" spans="1:3" x14ac:dyDescent="0.25">
      <c r="A84" t="s">
        <v>2698</v>
      </c>
    </row>
    <row r="85" spans="1:3" x14ac:dyDescent="0.25">
      <c r="A85" t="s">
        <v>2699</v>
      </c>
      <c r="B85" t="s">
        <v>3308</v>
      </c>
      <c r="C85" t="s">
        <v>3304</v>
      </c>
    </row>
    <row r="86" spans="1:3" x14ac:dyDescent="0.25">
      <c r="A86" t="s">
        <v>2700</v>
      </c>
    </row>
    <row r="87" spans="1:3" x14ac:dyDescent="0.25">
      <c r="A87" t="s">
        <v>2692</v>
      </c>
    </row>
    <row r="88" spans="1:3" x14ac:dyDescent="0.25">
      <c r="A88" t="s">
        <v>2693</v>
      </c>
    </row>
    <row r="89" spans="1:3" x14ac:dyDescent="0.25">
      <c r="A89" t="s">
        <v>2701</v>
      </c>
    </row>
    <row r="90" spans="1:3" x14ac:dyDescent="0.25">
      <c r="A90" t="s">
        <v>2686</v>
      </c>
    </row>
    <row r="91" spans="1:3" x14ac:dyDescent="0.25">
      <c r="A91" t="s">
        <v>2702</v>
      </c>
    </row>
    <row r="92" spans="1:3" x14ac:dyDescent="0.25">
      <c r="A92" t="s">
        <v>2703</v>
      </c>
    </row>
    <row r="93" spans="1:3" x14ac:dyDescent="0.25">
      <c r="A93" t="s">
        <v>2704</v>
      </c>
    </row>
    <row r="94" spans="1:3" x14ac:dyDescent="0.25">
      <c r="A94" t="s">
        <v>2688</v>
      </c>
    </row>
    <row r="95" spans="1:3" x14ac:dyDescent="0.25">
      <c r="A95" t="s">
        <v>2696</v>
      </c>
    </row>
    <row r="96" spans="1:3" x14ac:dyDescent="0.25">
      <c r="A96" t="s">
        <v>2705</v>
      </c>
    </row>
    <row r="97" spans="1:3" x14ac:dyDescent="0.25">
      <c r="A97" t="s">
        <v>2706</v>
      </c>
      <c r="B97" t="s">
        <v>3309</v>
      </c>
      <c r="C97" t="s">
        <v>3304</v>
      </c>
    </row>
    <row r="98" spans="1:3" x14ac:dyDescent="0.25">
      <c r="A98" t="s">
        <v>2707</v>
      </c>
    </row>
    <row r="99" spans="1:3" x14ac:dyDescent="0.25">
      <c r="A99" t="s">
        <v>2692</v>
      </c>
    </row>
    <row r="100" spans="1:3" x14ac:dyDescent="0.25">
      <c r="A100" t="s">
        <v>2693</v>
      </c>
    </row>
    <row r="101" spans="1:3" x14ac:dyDescent="0.25">
      <c r="A101" t="s">
        <v>2708</v>
      </c>
    </row>
    <row r="102" spans="1:3" x14ac:dyDescent="0.25">
      <c r="A102" t="s">
        <v>2686</v>
      </c>
    </row>
    <row r="103" spans="1:3" x14ac:dyDescent="0.25">
      <c r="A103" t="s">
        <v>2709</v>
      </c>
    </row>
    <row r="104" spans="1:3" x14ac:dyDescent="0.25">
      <c r="A104" t="s">
        <v>2710</v>
      </c>
    </row>
    <row r="105" spans="1:3" x14ac:dyDescent="0.25">
      <c r="A105" t="s">
        <v>2711</v>
      </c>
    </row>
    <row r="106" spans="1:3" x14ac:dyDescent="0.25">
      <c r="A106" t="s">
        <v>2712</v>
      </c>
    </row>
    <row r="107" spans="1:3" x14ac:dyDescent="0.25">
      <c r="A107" t="s">
        <v>2713</v>
      </c>
    </row>
    <row r="108" spans="1:3" x14ac:dyDescent="0.25">
      <c r="A108" t="s">
        <v>2714</v>
      </c>
    </row>
    <row r="109" spans="1:3" x14ac:dyDescent="0.25">
      <c r="A109" t="s">
        <v>2715</v>
      </c>
    </row>
    <row r="110" spans="1:3" x14ac:dyDescent="0.25">
      <c r="A110" t="s">
        <v>2716</v>
      </c>
    </row>
    <row r="111" spans="1:3" x14ac:dyDescent="0.25">
      <c r="A111" t="s">
        <v>2717</v>
      </c>
      <c r="B111" t="s">
        <v>3310</v>
      </c>
      <c r="C111" t="s">
        <v>3304</v>
      </c>
    </row>
    <row r="112" spans="1:3" x14ac:dyDescent="0.25">
      <c r="A112" t="s">
        <v>2718</v>
      </c>
    </row>
    <row r="113" spans="1:1" x14ac:dyDescent="0.25">
      <c r="A113" t="s">
        <v>2719</v>
      </c>
    </row>
    <row r="114" spans="1:1" x14ac:dyDescent="0.25">
      <c r="A114" t="s">
        <v>2692</v>
      </c>
    </row>
    <row r="115" spans="1:1" x14ac:dyDescent="0.25">
      <c r="A115" t="s">
        <v>2693</v>
      </c>
    </row>
    <row r="116" spans="1:1" x14ac:dyDescent="0.25">
      <c r="A116" t="s">
        <v>2720</v>
      </c>
    </row>
    <row r="117" spans="1:1" x14ac:dyDescent="0.25">
      <c r="A117" t="s">
        <v>2686</v>
      </c>
    </row>
    <row r="118" spans="1:1" x14ac:dyDescent="0.25">
      <c r="A118" t="s">
        <v>2721</v>
      </c>
    </row>
    <row r="119" spans="1:1" x14ac:dyDescent="0.25">
      <c r="A119" t="s">
        <v>2722</v>
      </c>
    </row>
    <row r="120" spans="1:1" x14ac:dyDescent="0.25">
      <c r="A120" t="s">
        <v>2723</v>
      </c>
    </row>
    <row r="121" spans="1:1" x14ac:dyDescent="0.25">
      <c r="A121" t="s">
        <v>2724</v>
      </c>
    </row>
    <row r="122" spans="1:1" x14ac:dyDescent="0.25">
      <c r="A122" t="s">
        <v>2725</v>
      </c>
    </row>
    <row r="123" spans="1:1" x14ac:dyDescent="0.25">
      <c r="A123" t="s">
        <v>2692</v>
      </c>
    </row>
    <row r="124" spans="1:1" x14ac:dyDescent="0.25">
      <c r="A124" t="s">
        <v>2693</v>
      </c>
    </row>
    <row r="125" spans="1:1" x14ac:dyDescent="0.25">
      <c r="A125" t="s">
        <v>2726</v>
      </c>
    </row>
    <row r="126" spans="1:1" x14ac:dyDescent="0.25">
      <c r="A126" t="s">
        <v>2686</v>
      </c>
    </row>
    <row r="127" spans="1:1" x14ac:dyDescent="0.25">
      <c r="A127" t="s">
        <v>2727</v>
      </c>
    </row>
    <row r="128" spans="1:1" x14ac:dyDescent="0.25">
      <c r="A128" t="s">
        <v>2728</v>
      </c>
    </row>
    <row r="129" spans="1:1" x14ac:dyDescent="0.25">
      <c r="A129" t="s">
        <v>2723</v>
      </c>
    </row>
    <row r="130" spans="1:1" x14ac:dyDescent="0.25">
      <c r="A130" t="s">
        <v>2724</v>
      </c>
    </row>
    <row r="131" spans="1:1" x14ac:dyDescent="0.25">
      <c r="A131" t="s">
        <v>2729</v>
      </c>
    </row>
    <row r="132" spans="1:1" x14ac:dyDescent="0.25">
      <c r="A132" t="s">
        <v>2692</v>
      </c>
    </row>
    <row r="133" spans="1:1" x14ac:dyDescent="0.25">
      <c r="A133" t="s">
        <v>2693</v>
      </c>
    </row>
    <row r="134" spans="1:1" x14ac:dyDescent="0.25">
      <c r="A134" t="s">
        <v>2730</v>
      </c>
    </row>
    <row r="135" spans="1:1" x14ac:dyDescent="0.25">
      <c r="A135" t="s">
        <v>2686</v>
      </c>
    </row>
    <row r="136" spans="1:1" x14ac:dyDescent="0.25">
      <c r="A136" t="s">
        <v>2731</v>
      </c>
    </row>
    <row r="137" spans="1:1" x14ac:dyDescent="0.25">
      <c r="A137" t="s">
        <v>2732</v>
      </c>
    </row>
    <row r="138" spans="1:1" x14ac:dyDescent="0.25">
      <c r="A138" t="s">
        <v>2692</v>
      </c>
    </row>
    <row r="139" spans="1:1" x14ac:dyDescent="0.25">
      <c r="A139" t="s">
        <v>2733</v>
      </c>
    </row>
    <row r="140" spans="1:1" x14ac:dyDescent="0.25">
      <c r="A140" t="s">
        <v>2639</v>
      </c>
    </row>
    <row r="141" spans="1:1" x14ac:dyDescent="0.25">
      <c r="A141" t="s">
        <v>2734</v>
      </c>
    </row>
    <row r="142" spans="1:1" x14ac:dyDescent="0.25">
      <c r="A142" t="s">
        <v>2735</v>
      </c>
    </row>
    <row r="143" spans="1:1" x14ac:dyDescent="0.25">
      <c r="A143" t="s">
        <v>2736</v>
      </c>
    </row>
    <row r="144" spans="1:1" x14ac:dyDescent="0.25">
      <c r="A144" t="s">
        <v>2737</v>
      </c>
    </row>
    <row r="145" spans="1:3" x14ac:dyDescent="0.25">
      <c r="A145" t="s">
        <v>2738</v>
      </c>
    </row>
    <row r="146" spans="1:3" x14ac:dyDescent="0.25">
      <c r="A146" t="s">
        <v>2739</v>
      </c>
    </row>
    <row r="147" spans="1:3" x14ac:dyDescent="0.25">
      <c r="A147" t="s">
        <v>2740</v>
      </c>
    </row>
    <row r="148" spans="1:3" x14ac:dyDescent="0.25">
      <c r="A148" t="s">
        <v>2741</v>
      </c>
    </row>
    <row r="149" spans="1:3" x14ac:dyDescent="0.25">
      <c r="A149" t="s">
        <v>2742</v>
      </c>
    </row>
    <row r="150" spans="1:3" x14ac:dyDescent="0.25">
      <c r="A150" t="s">
        <v>2743</v>
      </c>
      <c r="B150" t="s">
        <v>3311</v>
      </c>
      <c r="C150" t="s">
        <v>3304</v>
      </c>
    </row>
    <row r="151" spans="1:3" x14ac:dyDescent="0.25">
      <c r="A151" t="s">
        <v>2744</v>
      </c>
    </row>
    <row r="152" spans="1:3" x14ac:dyDescent="0.25">
      <c r="A152" t="s">
        <v>2745</v>
      </c>
      <c r="B152" t="s">
        <v>3312</v>
      </c>
      <c r="C152" t="s">
        <v>3304</v>
      </c>
    </row>
    <row r="153" spans="1:3" x14ac:dyDescent="0.25">
      <c r="A153" t="s">
        <v>2746</v>
      </c>
    </row>
    <row r="154" spans="1:3" x14ac:dyDescent="0.25">
      <c r="A154" t="s">
        <v>2747</v>
      </c>
    </row>
    <row r="155" spans="1:3" x14ac:dyDescent="0.25">
      <c r="A155" t="s">
        <v>2748</v>
      </c>
    </row>
    <row r="156" spans="1:3" x14ac:dyDescent="0.25">
      <c r="A156" t="s">
        <v>2749</v>
      </c>
    </row>
    <row r="157" spans="1:3" x14ac:dyDescent="0.25">
      <c r="A157" t="s">
        <v>2750</v>
      </c>
    </row>
    <row r="158" spans="1:3" x14ac:dyDescent="0.25">
      <c r="A158" t="s">
        <v>2751</v>
      </c>
    </row>
    <row r="159" spans="1:3" x14ac:dyDescent="0.25">
      <c r="A159" t="s">
        <v>2752</v>
      </c>
    </row>
    <row r="160" spans="1:3" x14ac:dyDescent="0.25">
      <c r="A160" t="s">
        <v>2740</v>
      </c>
    </row>
    <row r="161" spans="1:1" x14ac:dyDescent="0.25">
      <c r="A161" t="s">
        <v>2753</v>
      </c>
    </row>
    <row r="162" spans="1:1" x14ac:dyDescent="0.25">
      <c r="A162" t="s">
        <v>2754</v>
      </c>
    </row>
    <row r="163" spans="1:1" x14ac:dyDescent="0.25">
      <c r="A163" t="s">
        <v>2755</v>
      </c>
    </row>
    <row r="164" spans="1:1" x14ac:dyDescent="0.25">
      <c r="A164" t="s">
        <v>2756</v>
      </c>
    </row>
    <row r="165" spans="1:1" x14ac:dyDescent="0.25">
      <c r="A165" t="s">
        <v>2757</v>
      </c>
    </row>
    <row r="166" spans="1:1" x14ac:dyDescent="0.25">
      <c r="A166" t="s">
        <v>2692</v>
      </c>
    </row>
    <row r="167" spans="1:1" x14ac:dyDescent="0.25">
      <c r="A167" t="s">
        <v>2655</v>
      </c>
    </row>
    <row r="168" spans="1:1" x14ac:dyDescent="0.25">
      <c r="A168" t="s">
        <v>2758</v>
      </c>
    </row>
    <row r="169" spans="1:1" x14ac:dyDescent="0.25">
      <c r="A169" t="s">
        <v>2759</v>
      </c>
    </row>
    <row r="170" spans="1:1" x14ac:dyDescent="0.25">
      <c r="A170" t="s">
        <v>2760</v>
      </c>
    </row>
    <row r="171" spans="1:1" x14ac:dyDescent="0.25">
      <c r="A171" t="s">
        <v>2761</v>
      </c>
    </row>
    <row r="172" spans="1:1" x14ac:dyDescent="0.25">
      <c r="A172" t="s">
        <v>2762</v>
      </c>
    </row>
    <row r="173" spans="1:1" x14ac:dyDescent="0.25">
      <c r="A173" t="s">
        <v>2763</v>
      </c>
    </row>
    <row r="174" spans="1:1" x14ac:dyDescent="0.25">
      <c r="A174" t="s">
        <v>2764</v>
      </c>
    </row>
    <row r="175" spans="1:1" x14ac:dyDescent="0.25">
      <c r="A175" t="s">
        <v>2765</v>
      </c>
    </row>
    <row r="176" spans="1:1" x14ac:dyDescent="0.25">
      <c r="A176" t="s">
        <v>2766</v>
      </c>
    </row>
    <row r="177" spans="1:3" x14ac:dyDescent="0.25">
      <c r="A177" t="s">
        <v>2767</v>
      </c>
    </row>
    <row r="178" spans="1:3" x14ac:dyDescent="0.25">
      <c r="A178" t="s">
        <v>2768</v>
      </c>
      <c r="B178" t="s">
        <v>3313</v>
      </c>
      <c r="C178" t="s">
        <v>3304</v>
      </c>
    </row>
    <row r="179" spans="1:3" x14ac:dyDescent="0.25">
      <c r="A179" t="s">
        <v>2769</v>
      </c>
    </row>
    <row r="180" spans="1:3" x14ac:dyDescent="0.25">
      <c r="A180" t="s">
        <v>2770</v>
      </c>
      <c r="B180" t="s">
        <v>3317</v>
      </c>
      <c r="C180" t="s">
        <v>3304</v>
      </c>
    </row>
    <row r="181" spans="1:3" x14ac:dyDescent="0.25">
      <c r="A181" t="s">
        <v>2771</v>
      </c>
    </row>
    <row r="182" spans="1:3" x14ac:dyDescent="0.25">
      <c r="A182" t="s">
        <v>2772</v>
      </c>
    </row>
    <row r="183" spans="1:3" x14ac:dyDescent="0.25">
      <c r="A183" t="s">
        <v>2669</v>
      </c>
    </row>
    <row r="184" spans="1:3" x14ac:dyDescent="0.25">
      <c r="A184" t="s">
        <v>2773</v>
      </c>
    </row>
    <row r="185" spans="1:3" x14ac:dyDescent="0.25">
      <c r="A185" t="s">
        <v>2774</v>
      </c>
    </row>
    <row r="186" spans="1:3" x14ac:dyDescent="0.25">
      <c r="A186" t="s">
        <v>2775</v>
      </c>
    </row>
    <row r="187" spans="1:3" x14ac:dyDescent="0.25">
      <c r="A187" t="s">
        <v>2776</v>
      </c>
    </row>
    <row r="188" spans="1:3" x14ac:dyDescent="0.25">
      <c r="A188" t="s">
        <v>2674</v>
      </c>
    </row>
    <row r="189" spans="1:3" x14ac:dyDescent="0.25">
      <c r="A189" t="s">
        <v>2675</v>
      </c>
    </row>
    <row r="190" spans="1:3" x14ac:dyDescent="0.25">
      <c r="A190" t="s">
        <v>2769</v>
      </c>
    </row>
    <row r="191" spans="1:3" x14ac:dyDescent="0.25">
      <c r="A191" t="s">
        <v>2777</v>
      </c>
    </row>
    <row r="192" spans="1:3" x14ac:dyDescent="0.25">
      <c r="A192" t="s">
        <v>2778</v>
      </c>
    </row>
    <row r="193" spans="1:1" x14ac:dyDescent="0.25">
      <c r="A193" t="s">
        <v>2779</v>
      </c>
    </row>
    <row r="194" spans="1:1" x14ac:dyDescent="0.25">
      <c r="A194" t="s">
        <v>2669</v>
      </c>
    </row>
    <row r="195" spans="1:1" x14ac:dyDescent="0.25">
      <c r="A195" t="s">
        <v>2773</v>
      </c>
    </row>
    <row r="196" spans="1:1" x14ac:dyDescent="0.25">
      <c r="A196" t="s">
        <v>2780</v>
      </c>
    </row>
    <row r="197" spans="1:1" x14ac:dyDescent="0.25">
      <c r="A197" t="s">
        <v>2781</v>
      </c>
    </row>
    <row r="198" spans="1:1" x14ac:dyDescent="0.25">
      <c r="A198" t="s">
        <v>2674</v>
      </c>
    </row>
    <row r="199" spans="1:1" x14ac:dyDescent="0.25">
      <c r="A199" t="s">
        <v>2675</v>
      </c>
    </row>
    <row r="200" spans="1:1" x14ac:dyDescent="0.25">
      <c r="A200" t="s">
        <v>2649</v>
      </c>
    </row>
    <row r="201" spans="1:1" x14ac:dyDescent="0.25">
      <c r="A201" t="s">
        <v>2740</v>
      </c>
    </row>
    <row r="202" spans="1:1" x14ac:dyDescent="0.25">
      <c r="A202" t="s">
        <v>2782</v>
      </c>
    </row>
    <row r="203" spans="1:1" x14ac:dyDescent="0.25">
      <c r="A203" t="s">
        <v>2647</v>
      </c>
    </row>
    <row r="204" spans="1:1" x14ac:dyDescent="0.25">
      <c r="A204" t="s">
        <v>2783</v>
      </c>
    </row>
    <row r="205" spans="1:1" x14ac:dyDescent="0.25">
      <c r="A205" t="s">
        <v>2784</v>
      </c>
    </row>
    <row r="206" spans="1:1" x14ac:dyDescent="0.25">
      <c r="A206" t="s">
        <v>2767</v>
      </c>
    </row>
    <row r="207" spans="1:1" x14ac:dyDescent="0.25">
      <c r="A207" t="s">
        <v>2785</v>
      </c>
    </row>
    <row r="208" spans="1:1" x14ac:dyDescent="0.25">
      <c r="A208" t="s">
        <v>2786</v>
      </c>
    </row>
    <row r="209" spans="1:1" x14ac:dyDescent="0.25">
      <c r="A209" t="s">
        <v>2787</v>
      </c>
    </row>
    <row r="210" spans="1:1" x14ac:dyDescent="0.25">
      <c r="A210" t="s">
        <v>2669</v>
      </c>
    </row>
    <row r="211" spans="1:1" x14ac:dyDescent="0.25">
      <c r="A211" t="s">
        <v>2788</v>
      </c>
    </row>
    <row r="212" spans="1:1" x14ac:dyDescent="0.25">
      <c r="A212" t="s">
        <v>2789</v>
      </c>
    </row>
    <row r="213" spans="1:1" x14ac:dyDescent="0.25">
      <c r="A213" t="s">
        <v>2790</v>
      </c>
    </row>
    <row r="214" spans="1:1" x14ac:dyDescent="0.25">
      <c r="A214" t="s">
        <v>2791</v>
      </c>
    </row>
    <row r="215" spans="1:1" x14ac:dyDescent="0.25">
      <c r="A215" t="s">
        <v>2792</v>
      </c>
    </row>
    <row r="216" spans="1:1" x14ac:dyDescent="0.25">
      <c r="A216" t="s">
        <v>2793</v>
      </c>
    </row>
    <row r="217" spans="1:1" x14ac:dyDescent="0.25">
      <c r="A217" t="s">
        <v>2794</v>
      </c>
    </row>
    <row r="218" spans="1:1" x14ac:dyDescent="0.25">
      <c r="A218" t="s">
        <v>2674</v>
      </c>
    </row>
    <row r="219" spans="1:1" x14ac:dyDescent="0.25">
      <c r="A219" t="s">
        <v>2675</v>
      </c>
    </row>
    <row r="220" spans="1:1" x14ac:dyDescent="0.25">
      <c r="A220" t="s">
        <v>2649</v>
      </c>
    </row>
    <row r="221" spans="1:1" x14ac:dyDescent="0.25">
      <c r="A221" t="s">
        <v>2650</v>
      </c>
    </row>
    <row r="222" spans="1:1" x14ac:dyDescent="0.25">
      <c r="A222" t="s">
        <v>2795</v>
      </c>
    </row>
    <row r="223" spans="1:1" x14ac:dyDescent="0.25">
      <c r="A223" t="s">
        <v>2796</v>
      </c>
    </row>
    <row r="224" spans="1:1" x14ac:dyDescent="0.25">
      <c r="A224" t="s">
        <v>2797</v>
      </c>
    </row>
    <row r="225" spans="1:2" x14ac:dyDescent="0.25">
      <c r="A225" t="s">
        <v>2798</v>
      </c>
      <c r="B225" t="s">
        <v>3319</v>
      </c>
    </row>
    <row r="226" spans="1:2" x14ac:dyDescent="0.25">
      <c r="A226" t="s">
        <v>2799</v>
      </c>
      <c r="B226" t="s">
        <v>3314</v>
      </c>
    </row>
    <row r="227" spans="1:2" x14ac:dyDescent="0.25">
      <c r="A227" t="s">
        <v>2800</v>
      </c>
      <c r="B227" t="s">
        <v>3315</v>
      </c>
    </row>
    <row r="228" spans="1:2" x14ac:dyDescent="0.25">
      <c r="A228" t="s">
        <v>2801</v>
      </c>
    </row>
    <row r="229" spans="1:2" x14ac:dyDescent="0.25">
      <c r="A229" t="s">
        <v>2802</v>
      </c>
    </row>
    <row r="230" spans="1:2" x14ac:dyDescent="0.25">
      <c r="A230" t="s">
        <v>2712</v>
      </c>
    </row>
    <row r="231" spans="1:2" x14ac:dyDescent="0.25">
      <c r="A231" t="s">
        <v>2803</v>
      </c>
    </row>
    <row r="232" spans="1:2" x14ac:dyDescent="0.25">
      <c r="A232" t="s">
        <v>2804</v>
      </c>
    </row>
    <row r="233" spans="1:2" x14ac:dyDescent="0.25">
      <c r="A233" t="s">
        <v>2805</v>
      </c>
    </row>
    <row r="234" spans="1:2" x14ac:dyDescent="0.25">
      <c r="A234" t="s">
        <v>2806</v>
      </c>
    </row>
    <row r="235" spans="1:2" x14ac:dyDescent="0.25">
      <c r="A235" t="s">
        <v>2807</v>
      </c>
    </row>
    <row r="236" spans="1:2" x14ac:dyDescent="0.25">
      <c r="A236" t="s">
        <v>2808</v>
      </c>
    </row>
    <row r="237" spans="1:2" x14ac:dyDescent="0.25">
      <c r="A237" t="s">
        <v>2809</v>
      </c>
    </row>
    <row r="238" spans="1:2" x14ac:dyDescent="0.25">
      <c r="A238" t="s">
        <v>2810</v>
      </c>
    </row>
    <row r="239" spans="1:2" x14ac:dyDescent="0.25">
      <c r="A239" t="s">
        <v>2811</v>
      </c>
    </row>
    <row r="240" spans="1:2" x14ac:dyDescent="0.25">
      <c r="A240" t="s">
        <v>2812</v>
      </c>
    </row>
    <row r="241" spans="1:1" x14ac:dyDescent="0.25">
      <c r="A241" t="s">
        <v>2718</v>
      </c>
    </row>
    <row r="242" spans="1:1" x14ac:dyDescent="0.25">
      <c r="A242" t="s">
        <v>2719</v>
      </c>
    </row>
    <row r="243" spans="1:1" x14ac:dyDescent="0.25">
      <c r="A243" t="s">
        <v>2740</v>
      </c>
    </row>
    <row r="244" spans="1:1" x14ac:dyDescent="0.25">
      <c r="A244" t="s">
        <v>2813</v>
      </c>
    </row>
    <row r="245" spans="1:1" x14ac:dyDescent="0.25">
      <c r="A245" t="s">
        <v>2814</v>
      </c>
    </row>
    <row r="246" spans="1:1" x14ac:dyDescent="0.25">
      <c r="A246" t="s">
        <v>2740</v>
      </c>
    </row>
    <row r="247" spans="1:1" x14ac:dyDescent="0.25">
      <c r="A247" t="s">
        <v>2815</v>
      </c>
    </row>
    <row r="248" spans="1:1" x14ac:dyDescent="0.25">
      <c r="A248" t="s">
        <v>2816</v>
      </c>
    </row>
    <row r="249" spans="1:1" x14ac:dyDescent="0.25">
      <c r="A249" t="s">
        <v>2817</v>
      </c>
    </row>
    <row r="250" spans="1:1" x14ac:dyDescent="0.25">
      <c r="A250" t="s">
        <v>2818</v>
      </c>
    </row>
    <row r="251" spans="1:1" x14ac:dyDescent="0.25">
      <c r="A251" t="s">
        <v>2740</v>
      </c>
    </row>
    <row r="252" spans="1:1" x14ac:dyDescent="0.25">
      <c r="A252" t="s">
        <v>2819</v>
      </c>
    </row>
    <row r="253" spans="1:1" x14ac:dyDescent="0.25">
      <c r="A253" t="s">
        <v>2820</v>
      </c>
    </row>
    <row r="254" spans="1:1" x14ac:dyDescent="0.25">
      <c r="A254" t="s">
        <v>2692</v>
      </c>
    </row>
    <row r="255" spans="1:1" x14ac:dyDescent="0.25">
      <c r="A255" t="s">
        <v>2655</v>
      </c>
    </row>
    <row r="256" spans="1:1" x14ac:dyDescent="0.25">
      <c r="A256" t="s">
        <v>2821</v>
      </c>
    </row>
    <row r="257" spans="1:1" x14ac:dyDescent="0.25">
      <c r="A257" t="s">
        <v>2822</v>
      </c>
    </row>
    <row r="258" spans="1:1" x14ac:dyDescent="0.25">
      <c r="A258" t="s">
        <v>2823</v>
      </c>
    </row>
    <row r="259" spans="1:1" x14ac:dyDescent="0.25">
      <c r="A259" t="s">
        <v>2824</v>
      </c>
    </row>
    <row r="260" spans="1:1" x14ac:dyDescent="0.25">
      <c r="A260" t="s">
        <v>2825</v>
      </c>
    </row>
    <row r="261" spans="1:1" x14ac:dyDescent="0.25">
      <c r="A261" t="s">
        <v>2826</v>
      </c>
    </row>
    <row r="262" spans="1:1" x14ac:dyDescent="0.25">
      <c r="A262" t="s">
        <v>2827</v>
      </c>
    </row>
    <row r="263" spans="1:1" x14ac:dyDescent="0.25">
      <c r="A263" t="s">
        <v>2828</v>
      </c>
    </row>
    <row r="264" spans="1:1" x14ac:dyDescent="0.25">
      <c r="A264" t="s">
        <v>2829</v>
      </c>
    </row>
    <row r="265" spans="1:1" x14ac:dyDescent="0.25">
      <c r="A265" t="s">
        <v>2830</v>
      </c>
    </row>
    <row r="266" spans="1:1" x14ac:dyDescent="0.25">
      <c r="A266" t="s">
        <v>2831</v>
      </c>
    </row>
    <row r="267" spans="1:1" x14ac:dyDescent="0.25">
      <c r="A267" t="s">
        <v>2832</v>
      </c>
    </row>
    <row r="268" spans="1:1" x14ac:dyDescent="0.25">
      <c r="A268" t="s">
        <v>2655</v>
      </c>
    </row>
    <row r="269" spans="1:1" x14ac:dyDescent="0.25">
      <c r="A269" t="s">
        <v>2833</v>
      </c>
    </row>
    <row r="270" spans="1:1" x14ac:dyDescent="0.25">
      <c r="A270" t="s">
        <v>2834</v>
      </c>
    </row>
    <row r="271" spans="1:1" x14ac:dyDescent="0.25">
      <c r="A271" t="s">
        <v>2835</v>
      </c>
    </row>
    <row r="272" spans="1:1" x14ac:dyDescent="0.25">
      <c r="A272" t="s">
        <v>2836</v>
      </c>
    </row>
    <row r="273" spans="1:1" x14ac:dyDescent="0.25">
      <c r="A273" t="s">
        <v>2837</v>
      </c>
    </row>
    <row r="274" spans="1:1" x14ac:dyDescent="0.25">
      <c r="A274" t="s">
        <v>2838</v>
      </c>
    </row>
    <row r="275" spans="1:1" x14ac:dyDescent="0.25">
      <c r="A275" t="s">
        <v>2839</v>
      </c>
    </row>
    <row r="276" spans="1:1" x14ac:dyDescent="0.25">
      <c r="A276" t="s">
        <v>2655</v>
      </c>
    </row>
    <row r="277" spans="1:1" x14ac:dyDescent="0.25">
      <c r="A277" t="s">
        <v>2840</v>
      </c>
    </row>
    <row r="278" spans="1:1" x14ac:dyDescent="0.25">
      <c r="A278" t="s">
        <v>2841</v>
      </c>
    </row>
    <row r="279" spans="1:1" x14ac:dyDescent="0.25">
      <c r="A279" t="s">
        <v>2835</v>
      </c>
    </row>
    <row r="280" spans="1:1" x14ac:dyDescent="0.25">
      <c r="A280" t="s">
        <v>2842</v>
      </c>
    </row>
    <row r="281" spans="1:1" x14ac:dyDescent="0.25">
      <c r="A281" t="s">
        <v>2655</v>
      </c>
    </row>
    <row r="282" spans="1:1" x14ac:dyDescent="0.25">
      <c r="A282" t="s">
        <v>2843</v>
      </c>
    </row>
    <row r="283" spans="1:1" x14ac:dyDescent="0.25">
      <c r="A283" t="s">
        <v>2844</v>
      </c>
    </row>
    <row r="284" spans="1:1" x14ac:dyDescent="0.25">
      <c r="A284" t="s">
        <v>2655</v>
      </c>
    </row>
    <row r="285" spans="1:1" x14ac:dyDescent="0.25">
      <c r="A285" t="s">
        <v>2845</v>
      </c>
    </row>
    <row r="286" spans="1:1" x14ac:dyDescent="0.25">
      <c r="A286" t="s">
        <v>2846</v>
      </c>
    </row>
    <row r="287" spans="1:1" x14ac:dyDescent="0.25">
      <c r="A287" t="s">
        <v>2847</v>
      </c>
    </row>
    <row r="288" spans="1:1" x14ac:dyDescent="0.25">
      <c r="A288" t="s">
        <v>2655</v>
      </c>
    </row>
    <row r="289" spans="1:1" x14ac:dyDescent="0.25">
      <c r="A289" t="s">
        <v>2848</v>
      </c>
    </row>
    <row r="290" spans="1:1" x14ac:dyDescent="0.25">
      <c r="A290" t="s">
        <v>2849</v>
      </c>
    </row>
    <row r="291" spans="1:1" x14ac:dyDescent="0.25">
      <c r="A291" t="s">
        <v>2850</v>
      </c>
    </row>
    <row r="292" spans="1:1" x14ac:dyDescent="0.25">
      <c r="A292" t="s">
        <v>2851</v>
      </c>
    </row>
    <row r="293" spans="1:1" x14ac:dyDescent="0.25">
      <c r="A293" t="s">
        <v>2852</v>
      </c>
    </row>
    <row r="294" spans="1:1" x14ac:dyDescent="0.25">
      <c r="A294" t="s">
        <v>2692</v>
      </c>
    </row>
    <row r="295" spans="1:1" x14ac:dyDescent="0.25">
      <c r="A295" t="s">
        <v>2655</v>
      </c>
    </row>
    <row r="296" spans="1:1" x14ac:dyDescent="0.25">
      <c r="A296" t="s">
        <v>2853</v>
      </c>
    </row>
    <row r="297" spans="1:1" x14ac:dyDescent="0.25">
      <c r="A297" t="s">
        <v>2854</v>
      </c>
    </row>
    <row r="298" spans="1:1" x14ac:dyDescent="0.25">
      <c r="A298" t="s">
        <v>2855</v>
      </c>
    </row>
    <row r="299" spans="1:1" x14ac:dyDescent="0.25">
      <c r="A299" t="s">
        <v>2856</v>
      </c>
    </row>
    <row r="300" spans="1:1" x14ac:dyDescent="0.25">
      <c r="A300" t="s">
        <v>2857</v>
      </c>
    </row>
    <row r="301" spans="1:1" x14ac:dyDescent="0.25">
      <c r="A301" t="s">
        <v>2858</v>
      </c>
    </row>
    <row r="302" spans="1:1" x14ac:dyDescent="0.25">
      <c r="A302" t="s">
        <v>2859</v>
      </c>
    </row>
    <row r="303" spans="1:1" x14ac:dyDescent="0.25">
      <c r="A303" t="s">
        <v>2860</v>
      </c>
    </row>
    <row r="304" spans="1:1" x14ac:dyDescent="0.25">
      <c r="A304" t="s">
        <v>2861</v>
      </c>
    </row>
    <row r="305" spans="1:1" x14ac:dyDescent="0.25">
      <c r="A305" t="s">
        <v>2862</v>
      </c>
    </row>
    <row r="306" spans="1:1" x14ac:dyDescent="0.25">
      <c r="A306" t="s">
        <v>2863</v>
      </c>
    </row>
    <row r="307" spans="1:1" x14ac:dyDescent="0.25">
      <c r="A307" t="s">
        <v>2864</v>
      </c>
    </row>
    <row r="308" spans="1:1" x14ac:dyDescent="0.25">
      <c r="A308" t="s">
        <v>2865</v>
      </c>
    </row>
    <row r="309" spans="1:1" x14ac:dyDescent="0.25">
      <c r="A309" t="s">
        <v>2866</v>
      </c>
    </row>
    <row r="310" spans="1:1" x14ac:dyDescent="0.25">
      <c r="A310" t="s">
        <v>2867</v>
      </c>
    </row>
    <row r="311" spans="1:1" x14ac:dyDescent="0.25">
      <c r="A311" t="s">
        <v>2862</v>
      </c>
    </row>
    <row r="312" spans="1:1" x14ac:dyDescent="0.25">
      <c r="A312" t="s">
        <v>2863</v>
      </c>
    </row>
    <row r="313" spans="1:1" x14ac:dyDescent="0.25">
      <c r="A313" t="s">
        <v>2864</v>
      </c>
    </row>
    <row r="314" spans="1:1" x14ac:dyDescent="0.25">
      <c r="A314" t="s">
        <v>2865</v>
      </c>
    </row>
    <row r="315" spans="1:1" x14ac:dyDescent="0.25">
      <c r="A315" t="s">
        <v>2718</v>
      </c>
    </row>
    <row r="316" spans="1:1" x14ac:dyDescent="0.25">
      <c r="A316" t="s">
        <v>2769</v>
      </c>
    </row>
    <row r="317" spans="1:1" x14ac:dyDescent="0.25">
      <c r="A317" t="s">
        <v>2868</v>
      </c>
    </row>
    <row r="318" spans="1:1" x14ac:dyDescent="0.25">
      <c r="A318" t="s">
        <v>2859</v>
      </c>
    </row>
    <row r="319" spans="1:1" x14ac:dyDescent="0.25">
      <c r="A319" t="s">
        <v>2860</v>
      </c>
    </row>
    <row r="320" spans="1:1" x14ac:dyDescent="0.25">
      <c r="A320" t="s">
        <v>2869</v>
      </c>
    </row>
    <row r="321" spans="1:1" x14ac:dyDescent="0.25">
      <c r="A321" t="s">
        <v>2862</v>
      </c>
    </row>
    <row r="322" spans="1:1" x14ac:dyDescent="0.25">
      <c r="A322" t="s">
        <v>2863</v>
      </c>
    </row>
    <row r="323" spans="1:1" x14ac:dyDescent="0.25">
      <c r="A323" t="s">
        <v>2864</v>
      </c>
    </row>
    <row r="324" spans="1:1" x14ac:dyDescent="0.25">
      <c r="A324" t="s">
        <v>2865</v>
      </c>
    </row>
    <row r="325" spans="1:1" x14ac:dyDescent="0.25">
      <c r="A325" t="s">
        <v>2866</v>
      </c>
    </row>
    <row r="326" spans="1:1" x14ac:dyDescent="0.25">
      <c r="A326" t="s">
        <v>2870</v>
      </c>
    </row>
    <row r="327" spans="1:1" x14ac:dyDescent="0.25">
      <c r="A327" t="s">
        <v>2862</v>
      </c>
    </row>
    <row r="328" spans="1:1" x14ac:dyDescent="0.25">
      <c r="A328" t="s">
        <v>2863</v>
      </c>
    </row>
    <row r="329" spans="1:1" x14ac:dyDescent="0.25">
      <c r="A329" t="s">
        <v>2864</v>
      </c>
    </row>
    <row r="330" spans="1:1" x14ac:dyDescent="0.25">
      <c r="A330" t="s">
        <v>2865</v>
      </c>
    </row>
    <row r="331" spans="1:1" x14ac:dyDescent="0.25">
      <c r="A331" t="s">
        <v>2718</v>
      </c>
    </row>
    <row r="332" spans="1:1" x14ac:dyDescent="0.25">
      <c r="A332" t="s">
        <v>2769</v>
      </c>
    </row>
    <row r="333" spans="1:1" x14ac:dyDescent="0.25">
      <c r="A333" t="s">
        <v>2871</v>
      </c>
    </row>
    <row r="334" spans="1:1" x14ac:dyDescent="0.25">
      <c r="A334" t="s">
        <v>2872</v>
      </c>
    </row>
    <row r="335" spans="1:1" x14ac:dyDescent="0.25">
      <c r="A335" t="s">
        <v>2873</v>
      </c>
    </row>
    <row r="336" spans="1:1" x14ac:dyDescent="0.25">
      <c r="A336" t="s">
        <v>2786</v>
      </c>
    </row>
    <row r="337" spans="1:2" x14ac:dyDescent="0.25">
      <c r="A337" t="s">
        <v>2874</v>
      </c>
    </row>
    <row r="338" spans="1:2" x14ac:dyDescent="0.25">
      <c r="A338" t="s">
        <v>2769</v>
      </c>
    </row>
    <row r="339" spans="1:2" x14ac:dyDescent="0.25">
      <c r="A339" t="s">
        <v>2875</v>
      </c>
    </row>
    <row r="340" spans="1:2" x14ac:dyDescent="0.25">
      <c r="A340" t="s">
        <v>2876</v>
      </c>
    </row>
    <row r="341" spans="1:2" x14ac:dyDescent="0.25">
      <c r="A341" t="s">
        <v>2877</v>
      </c>
    </row>
    <row r="342" spans="1:2" x14ac:dyDescent="0.25">
      <c r="A342" t="s">
        <v>2878</v>
      </c>
    </row>
    <row r="343" spans="1:2" x14ac:dyDescent="0.25">
      <c r="A343" t="s">
        <v>2879</v>
      </c>
    </row>
    <row r="344" spans="1:2" x14ac:dyDescent="0.25">
      <c r="A344" t="s">
        <v>2880</v>
      </c>
    </row>
    <row r="345" spans="1:2" x14ac:dyDescent="0.25">
      <c r="A345" t="s">
        <v>2669</v>
      </c>
    </row>
    <row r="346" spans="1:2" x14ac:dyDescent="0.25">
      <c r="A346" t="s">
        <v>2881</v>
      </c>
      <c r="B346" t="s">
        <v>3321</v>
      </c>
    </row>
    <row r="347" spans="1:2" x14ac:dyDescent="0.25">
      <c r="A347" t="s">
        <v>2882</v>
      </c>
    </row>
    <row r="348" spans="1:2" x14ac:dyDescent="0.25">
      <c r="A348" t="s">
        <v>2883</v>
      </c>
    </row>
    <row r="349" spans="1:2" x14ac:dyDescent="0.25">
      <c r="A349" t="s">
        <v>2884</v>
      </c>
    </row>
    <row r="350" spans="1:2" x14ac:dyDescent="0.25">
      <c r="A350" t="s">
        <v>2885</v>
      </c>
    </row>
    <row r="351" spans="1:2" x14ac:dyDescent="0.25">
      <c r="A351" t="s">
        <v>2886</v>
      </c>
    </row>
    <row r="352" spans="1:2" x14ac:dyDescent="0.25">
      <c r="A352" t="s">
        <v>2674</v>
      </c>
    </row>
    <row r="353" spans="1:2" x14ac:dyDescent="0.25">
      <c r="A353" t="s">
        <v>2675</v>
      </c>
    </row>
    <row r="354" spans="1:2" x14ac:dyDescent="0.25">
      <c r="A354" t="s">
        <v>2769</v>
      </c>
    </row>
    <row r="355" spans="1:2" x14ac:dyDescent="0.25">
      <c r="A355" t="s">
        <v>2887</v>
      </c>
    </row>
    <row r="356" spans="1:2" x14ac:dyDescent="0.25">
      <c r="A356" t="s">
        <v>2888</v>
      </c>
    </row>
    <row r="357" spans="1:2" x14ac:dyDescent="0.25">
      <c r="A357" t="s">
        <v>2889</v>
      </c>
    </row>
    <row r="358" spans="1:2" x14ac:dyDescent="0.25">
      <c r="A358" t="s">
        <v>2890</v>
      </c>
    </row>
    <row r="359" spans="1:2" x14ac:dyDescent="0.25">
      <c r="A359" t="s">
        <v>2891</v>
      </c>
    </row>
    <row r="360" spans="1:2" x14ac:dyDescent="0.25">
      <c r="A360" t="s">
        <v>2892</v>
      </c>
    </row>
    <row r="361" spans="1:2" x14ac:dyDescent="0.25">
      <c r="A361" t="s">
        <v>2669</v>
      </c>
    </row>
    <row r="362" spans="1:2" x14ac:dyDescent="0.25">
      <c r="A362" t="s">
        <v>2893</v>
      </c>
      <c r="B362" t="s">
        <v>3321</v>
      </c>
    </row>
    <row r="363" spans="1:2" x14ac:dyDescent="0.25">
      <c r="A363" t="s">
        <v>2882</v>
      </c>
    </row>
    <row r="364" spans="1:2" x14ac:dyDescent="0.25">
      <c r="A364" t="s">
        <v>2883</v>
      </c>
    </row>
    <row r="365" spans="1:2" x14ac:dyDescent="0.25">
      <c r="A365" t="s">
        <v>2884</v>
      </c>
    </row>
    <row r="366" spans="1:2" x14ac:dyDescent="0.25">
      <c r="A366" t="s">
        <v>2894</v>
      </c>
    </row>
    <row r="367" spans="1:2" x14ac:dyDescent="0.25">
      <c r="A367" t="s">
        <v>2895</v>
      </c>
    </row>
    <row r="368" spans="1:2" x14ac:dyDescent="0.25">
      <c r="A368" t="s">
        <v>2674</v>
      </c>
    </row>
    <row r="369" spans="1:3" x14ac:dyDescent="0.25">
      <c r="A369" t="s">
        <v>2675</v>
      </c>
    </row>
    <row r="370" spans="1:3" x14ac:dyDescent="0.25">
      <c r="A370" t="s">
        <v>2649</v>
      </c>
    </row>
    <row r="371" spans="1:3" x14ac:dyDescent="0.25">
      <c r="A371" t="s">
        <v>2692</v>
      </c>
    </row>
    <row r="372" spans="1:3" x14ac:dyDescent="0.25">
      <c r="A372" t="s">
        <v>2655</v>
      </c>
    </row>
    <row r="373" spans="1:3" x14ac:dyDescent="0.25">
      <c r="A373" t="s">
        <v>2896</v>
      </c>
    </row>
    <row r="374" spans="1:3" x14ac:dyDescent="0.25">
      <c r="A374" t="s">
        <v>2686</v>
      </c>
    </row>
    <row r="375" spans="1:3" x14ac:dyDescent="0.25">
      <c r="A375" t="s">
        <v>2897</v>
      </c>
      <c r="B375" t="s">
        <v>3320</v>
      </c>
      <c r="C375" t="s">
        <v>3304</v>
      </c>
    </row>
    <row r="376" spans="1:3" x14ac:dyDescent="0.25">
      <c r="A376" t="s">
        <v>2898</v>
      </c>
    </row>
    <row r="377" spans="1:3" x14ac:dyDescent="0.25">
      <c r="A377" t="s">
        <v>2899</v>
      </c>
    </row>
    <row r="378" spans="1:3" x14ac:dyDescent="0.25">
      <c r="A378" t="s">
        <v>2900</v>
      </c>
    </row>
    <row r="379" spans="1:3" x14ac:dyDescent="0.25">
      <c r="A379" t="s">
        <v>2901</v>
      </c>
    </row>
    <row r="380" spans="1:3" x14ac:dyDescent="0.25">
      <c r="A380" t="s">
        <v>2902</v>
      </c>
    </row>
    <row r="381" spans="1:3" x14ac:dyDescent="0.25">
      <c r="A381" t="s">
        <v>2903</v>
      </c>
    </row>
    <row r="382" spans="1:3" x14ac:dyDescent="0.25">
      <c r="A382" t="s">
        <v>2904</v>
      </c>
    </row>
    <row r="383" spans="1:3" x14ac:dyDescent="0.25">
      <c r="A383" t="s">
        <v>2905</v>
      </c>
    </row>
    <row r="384" spans="1:3" x14ac:dyDescent="0.25">
      <c r="A384" t="s">
        <v>2906</v>
      </c>
    </row>
    <row r="385" spans="1:1" x14ac:dyDescent="0.25">
      <c r="A385" t="s">
        <v>2692</v>
      </c>
    </row>
    <row r="386" spans="1:1" x14ac:dyDescent="0.25">
      <c r="A386" t="s">
        <v>2693</v>
      </c>
    </row>
    <row r="387" spans="1:1" x14ac:dyDescent="0.25">
      <c r="A387" t="s">
        <v>2907</v>
      </c>
    </row>
    <row r="388" spans="1:1" x14ac:dyDescent="0.25">
      <c r="A388" t="s">
        <v>2908</v>
      </c>
    </row>
    <row r="389" spans="1:1" x14ac:dyDescent="0.25">
      <c r="A389" t="s">
        <v>2909</v>
      </c>
    </row>
    <row r="390" spans="1:1" x14ac:dyDescent="0.25">
      <c r="A390" t="s">
        <v>2647</v>
      </c>
    </row>
    <row r="391" spans="1:1" x14ac:dyDescent="0.25">
      <c r="A391" t="s">
        <v>2910</v>
      </c>
    </row>
    <row r="392" spans="1:1" x14ac:dyDescent="0.25">
      <c r="A392" t="s">
        <v>2911</v>
      </c>
    </row>
    <row r="393" spans="1:1" x14ac:dyDescent="0.25">
      <c r="A393" t="s">
        <v>2912</v>
      </c>
    </row>
    <row r="394" spans="1:1" x14ac:dyDescent="0.25">
      <c r="A394" t="s">
        <v>2649</v>
      </c>
    </row>
    <row r="395" spans="1:1" x14ac:dyDescent="0.25">
      <c r="A395" t="s">
        <v>2650</v>
      </c>
    </row>
    <row r="396" spans="1:1" x14ac:dyDescent="0.25">
      <c r="A396" t="s">
        <v>2913</v>
      </c>
    </row>
    <row r="397" spans="1:1" x14ac:dyDescent="0.25">
      <c r="A397" t="s">
        <v>2914</v>
      </c>
    </row>
    <row r="398" spans="1:1" x14ac:dyDescent="0.25">
      <c r="A398" t="s">
        <v>2915</v>
      </c>
    </row>
    <row r="399" spans="1:1" x14ac:dyDescent="0.25">
      <c r="A399" t="s">
        <v>2916</v>
      </c>
    </row>
    <row r="400" spans="1:1" x14ac:dyDescent="0.25">
      <c r="A400" t="s">
        <v>2647</v>
      </c>
    </row>
    <row r="401" spans="1:3" x14ac:dyDescent="0.25">
      <c r="A401" t="s">
        <v>2910</v>
      </c>
    </row>
    <row r="402" spans="1:3" x14ac:dyDescent="0.25">
      <c r="A402" t="s">
        <v>2911</v>
      </c>
    </row>
    <row r="403" spans="1:3" x14ac:dyDescent="0.25">
      <c r="A403" t="s">
        <v>2917</v>
      </c>
    </row>
    <row r="404" spans="1:3" x14ac:dyDescent="0.25">
      <c r="A404" t="s">
        <v>2918</v>
      </c>
    </row>
    <row r="405" spans="1:3" x14ac:dyDescent="0.25">
      <c r="A405" t="s">
        <v>2919</v>
      </c>
      <c r="B405" t="s">
        <v>3318</v>
      </c>
      <c r="C405" t="s">
        <v>3304</v>
      </c>
    </row>
    <row r="406" spans="1:3" x14ac:dyDescent="0.25">
      <c r="A406" t="s">
        <v>2649</v>
      </c>
    </row>
    <row r="407" spans="1:3" x14ac:dyDescent="0.25">
      <c r="A407" t="s">
        <v>2684</v>
      </c>
    </row>
    <row r="408" spans="1:3" x14ac:dyDescent="0.25">
      <c r="A408" t="s">
        <v>2655</v>
      </c>
    </row>
    <row r="409" spans="1:3" x14ac:dyDescent="0.25">
      <c r="A409" t="s">
        <v>2920</v>
      </c>
      <c r="B409" t="s">
        <v>3319</v>
      </c>
    </row>
    <row r="410" spans="1:3" x14ac:dyDescent="0.25">
      <c r="A410" t="s">
        <v>2686</v>
      </c>
    </row>
    <row r="411" spans="1:3" x14ac:dyDescent="0.25">
      <c r="A411" t="s">
        <v>2921</v>
      </c>
    </row>
    <row r="412" spans="1:3" x14ac:dyDescent="0.25">
      <c r="A412" t="s">
        <v>2922</v>
      </c>
    </row>
    <row r="413" spans="1:3" x14ac:dyDescent="0.25">
      <c r="A413" t="s">
        <v>2923</v>
      </c>
    </row>
    <row r="414" spans="1:3" x14ac:dyDescent="0.25">
      <c r="A414" t="s">
        <v>2924</v>
      </c>
    </row>
    <row r="415" spans="1:3" x14ac:dyDescent="0.25">
      <c r="A415" t="s">
        <v>2925</v>
      </c>
    </row>
    <row r="416" spans="1:3" x14ac:dyDescent="0.25">
      <c r="A416" t="s">
        <v>2926</v>
      </c>
    </row>
    <row r="417" spans="1:1" x14ac:dyDescent="0.25">
      <c r="A417" t="s">
        <v>2927</v>
      </c>
    </row>
    <row r="418" spans="1:1" x14ac:dyDescent="0.25">
      <c r="A418" t="s">
        <v>2928</v>
      </c>
    </row>
    <row r="419" spans="1:1" x14ac:dyDescent="0.25">
      <c r="A419" t="s">
        <v>2929</v>
      </c>
    </row>
    <row r="420" spans="1:1" x14ac:dyDescent="0.25">
      <c r="A420" t="s">
        <v>2930</v>
      </c>
    </row>
    <row r="421" spans="1:1" x14ac:dyDescent="0.25">
      <c r="A421" t="s">
        <v>2931</v>
      </c>
    </row>
    <row r="422" spans="1:1" x14ac:dyDescent="0.25">
      <c r="A422" t="s">
        <v>2692</v>
      </c>
    </row>
    <row r="423" spans="1:1" x14ac:dyDescent="0.25">
      <c r="A423" t="s">
        <v>2693</v>
      </c>
    </row>
    <row r="424" spans="1:1" x14ac:dyDescent="0.25">
      <c r="A424" t="s">
        <v>2932</v>
      </c>
    </row>
    <row r="425" spans="1:1" x14ac:dyDescent="0.25">
      <c r="A425" t="s">
        <v>2686</v>
      </c>
    </row>
    <row r="426" spans="1:1" x14ac:dyDescent="0.25">
      <c r="A426" t="s">
        <v>2933</v>
      </c>
    </row>
    <row r="427" spans="1:1" x14ac:dyDescent="0.25">
      <c r="A427" t="s">
        <v>2688</v>
      </c>
    </row>
    <row r="428" spans="1:1" x14ac:dyDescent="0.25">
      <c r="A428" t="s">
        <v>2934</v>
      </c>
    </row>
    <row r="429" spans="1:1" x14ac:dyDescent="0.25">
      <c r="A429" t="s">
        <v>2924</v>
      </c>
    </row>
    <row r="430" spans="1:1" x14ac:dyDescent="0.25">
      <c r="A430" t="s">
        <v>2935</v>
      </c>
    </row>
    <row r="431" spans="1:1" x14ac:dyDescent="0.25">
      <c r="A431" t="s">
        <v>2926</v>
      </c>
    </row>
    <row r="432" spans="1:1" x14ac:dyDescent="0.25">
      <c r="A432" t="s">
        <v>2927</v>
      </c>
    </row>
    <row r="433" spans="1:2" x14ac:dyDescent="0.25">
      <c r="A433" t="s">
        <v>2936</v>
      </c>
    </row>
    <row r="434" spans="1:2" x14ac:dyDescent="0.25">
      <c r="A434" t="s">
        <v>2929</v>
      </c>
    </row>
    <row r="435" spans="1:2" x14ac:dyDescent="0.25">
      <c r="A435" t="s">
        <v>2937</v>
      </c>
    </row>
    <row r="436" spans="1:2" x14ac:dyDescent="0.25">
      <c r="A436" t="s">
        <v>2938</v>
      </c>
    </row>
    <row r="437" spans="1:2" x14ac:dyDescent="0.25">
      <c r="A437" t="s">
        <v>2939</v>
      </c>
    </row>
    <row r="438" spans="1:2" x14ac:dyDescent="0.25">
      <c r="A438" t="s">
        <v>2940</v>
      </c>
    </row>
    <row r="439" spans="1:2" x14ac:dyDescent="0.25">
      <c r="A439" t="s">
        <v>2941</v>
      </c>
    </row>
    <row r="440" spans="1:2" x14ac:dyDescent="0.25">
      <c r="A440" t="s">
        <v>2942</v>
      </c>
    </row>
    <row r="441" spans="1:2" x14ac:dyDescent="0.25">
      <c r="A441" t="s">
        <v>2943</v>
      </c>
    </row>
    <row r="442" spans="1:2" x14ac:dyDescent="0.25">
      <c r="A442" t="s">
        <v>2944</v>
      </c>
      <c r="B442" t="s">
        <v>3322</v>
      </c>
    </row>
    <row r="443" spans="1:2" x14ac:dyDescent="0.25">
      <c r="A443" t="s">
        <v>2945</v>
      </c>
    </row>
    <row r="444" spans="1:2" x14ac:dyDescent="0.25">
      <c r="A444" t="s">
        <v>2946</v>
      </c>
      <c r="B444" t="s">
        <v>3323</v>
      </c>
    </row>
    <row r="445" spans="1:2" x14ac:dyDescent="0.25">
      <c r="A445" t="s">
        <v>2947</v>
      </c>
      <c r="B445" t="s">
        <v>3323</v>
      </c>
    </row>
    <row r="446" spans="1:2" x14ac:dyDescent="0.25">
      <c r="A446" t="s">
        <v>2948</v>
      </c>
    </row>
    <row r="447" spans="1:2" x14ac:dyDescent="0.25">
      <c r="A447" t="s">
        <v>2949</v>
      </c>
    </row>
    <row r="448" spans="1:2" x14ac:dyDescent="0.25">
      <c r="A448" t="s">
        <v>2950</v>
      </c>
    </row>
    <row r="449" spans="1:2" x14ac:dyDescent="0.25">
      <c r="A449" t="s">
        <v>2951</v>
      </c>
    </row>
    <row r="450" spans="1:2" x14ac:dyDescent="0.25">
      <c r="A450" t="s">
        <v>2692</v>
      </c>
    </row>
    <row r="451" spans="1:2" x14ac:dyDescent="0.25">
      <c r="A451" t="s">
        <v>2693</v>
      </c>
    </row>
    <row r="452" spans="1:2" x14ac:dyDescent="0.25">
      <c r="A452" t="s">
        <v>2952</v>
      </c>
    </row>
    <row r="453" spans="1:2" x14ac:dyDescent="0.25">
      <c r="A453" t="s">
        <v>2953</v>
      </c>
    </row>
    <row r="454" spans="1:2" x14ac:dyDescent="0.25">
      <c r="A454" t="s">
        <v>2954</v>
      </c>
    </row>
    <row r="455" spans="1:2" x14ac:dyDescent="0.25">
      <c r="A455" t="s">
        <v>2955</v>
      </c>
    </row>
    <row r="456" spans="1:2" x14ac:dyDescent="0.25">
      <c r="A456" t="s">
        <v>2956</v>
      </c>
    </row>
    <row r="457" spans="1:2" x14ac:dyDescent="0.25">
      <c r="A457" t="s">
        <v>2957</v>
      </c>
    </row>
    <row r="458" spans="1:2" x14ac:dyDescent="0.25">
      <c r="A458" t="s">
        <v>2647</v>
      </c>
    </row>
    <row r="459" spans="1:2" x14ac:dyDescent="0.25">
      <c r="A459" t="s">
        <v>2958</v>
      </c>
    </row>
    <row r="460" spans="1:2" x14ac:dyDescent="0.25">
      <c r="A460" t="s">
        <v>2917</v>
      </c>
    </row>
    <row r="461" spans="1:2" x14ac:dyDescent="0.25">
      <c r="A461" t="s">
        <v>2959</v>
      </c>
    </row>
    <row r="462" spans="1:2" x14ac:dyDescent="0.25">
      <c r="A462" t="s">
        <v>2960</v>
      </c>
    </row>
    <row r="463" spans="1:2" x14ac:dyDescent="0.25">
      <c r="A463" t="s">
        <v>2961</v>
      </c>
    </row>
    <row r="464" spans="1:2" x14ac:dyDescent="0.25">
      <c r="A464" t="s">
        <v>2962</v>
      </c>
      <c r="B464" t="s">
        <v>3324</v>
      </c>
    </row>
    <row r="465" spans="1:2" x14ac:dyDescent="0.25">
      <c r="A465" t="s">
        <v>2963</v>
      </c>
    </row>
    <row r="466" spans="1:2" x14ac:dyDescent="0.25">
      <c r="A466" t="s">
        <v>2964</v>
      </c>
    </row>
    <row r="467" spans="1:2" x14ac:dyDescent="0.25">
      <c r="A467" t="s">
        <v>2965</v>
      </c>
    </row>
    <row r="468" spans="1:2" x14ac:dyDescent="0.25">
      <c r="A468" t="s">
        <v>2966</v>
      </c>
    </row>
    <row r="469" spans="1:2" x14ac:dyDescent="0.25">
      <c r="A469" t="s">
        <v>2967</v>
      </c>
    </row>
    <row r="470" spans="1:2" x14ac:dyDescent="0.25">
      <c r="A470" t="s">
        <v>2968</v>
      </c>
    </row>
    <row r="471" spans="1:2" x14ac:dyDescent="0.25">
      <c r="A471" t="s">
        <v>2969</v>
      </c>
    </row>
    <row r="472" spans="1:2" x14ac:dyDescent="0.25">
      <c r="A472" t="s">
        <v>2970</v>
      </c>
    </row>
    <row r="473" spans="1:2" x14ac:dyDescent="0.25">
      <c r="A473" t="s">
        <v>2971</v>
      </c>
    </row>
    <row r="474" spans="1:2" x14ac:dyDescent="0.25">
      <c r="A474" t="s">
        <v>2972</v>
      </c>
    </row>
    <row r="475" spans="1:2" x14ac:dyDescent="0.25">
      <c r="A475" t="s">
        <v>2973</v>
      </c>
    </row>
    <row r="476" spans="1:2" x14ac:dyDescent="0.25">
      <c r="A476" t="s">
        <v>2974</v>
      </c>
      <c r="B476" t="s">
        <v>3326</v>
      </c>
    </row>
    <row r="477" spans="1:2" x14ac:dyDescent="0.25">
      <c r="A477" t="s">
        <v>2975</v>
      </c>
      <c r="B477" t="s">
        <v>3325</v>
      </c>
    </row>
    <row r="478" spans="1:2" x14ac:dyDescent="0.25">
      <c r="A478" t="s">
        <v>2976</v>
      </c>
    </row>
    <row r="479" spans="1:2" x14ac:dyDescent="0.25">
      <c r="A479" t="s">
        <v>2977</v>
      </c>
    </row>
    <row r="480" spans="1:2" x14ac:dyDescent="0.25">
      <c r="A480" t="s">
        <v>2973</v>
      </c>
    </row>
    <row r="481" spans="1:2" x14ac:dyDescent="0.25">
      <c r="A481" t="s">
        <v>2978</v>
      </c>
    </row>
    <row r="482" spans="1:2" x14ac:dyDescent="0.25">
      <c r="A482" t="s">
        <v>2974</v>
      </c>
      <c r="B482" t="s">
        <v>3326</v>
      </c>
    </row>
    <row r="483" spans="1:2" x14ac:dyDescent="0.25">
      <c r="A483" t="s">
        <v>2975</v>
      </c>
      <c r="B483" t="s">
        <v>3325</v>
      </c>
    </row>
    <row r="484" spans="1:2" x14ac:dyDescent="0.25">
      <c r="A484" t="s">
        <v>2976</v>
      </c>
    </row>
    <row r="485" spans="1:2" x14ac:dyDescent="0.25">
      <c r="A485" t="s">
        <v>2979</v>
      </c>
    </row>
    <row r="486" spans="1:2" x14ac:dyDescent="0.25">
      <c r="A486" t="s">
        <v>2973</v>
      </c>
    </row>
    <row r="487" spans="1:2" x14ac:dyDescent="0.25">
      <c r="A487" t="s">
        <v>2974</v>
      </c>
      <c r="B487" t="s">
        <v>3326</v>
      </c>
    </row>
    <row r="488" spans="1:2" x14ac:dyDescent="0.25">
      <c r="A488" t="s">
        <v>2975</v>
      </c>
      <c r="B488" t="s">
        <v>3325</v>
      </c>
    </row>
    <row r="489" spans="1:2" x14ac:dyDescent="0.25">
      <c r="A489" t="s">
        <v>2976</v>
      </c>
    </row>
    <row r="490" spans="1:2" x14ac:dyDescent="0.25">
      <c r="A490" t="s">
        <v>2980</v>
      </c>
    </row>
    <row r="491" spans="1:2" x14ac:dyDescent="0.25">
      <c r="A491" t="s">
        <v>2981</v>
      </c>
    </row>
    <row r="492" spans="1:2" x14ac:dyDescent="0.25">
      <c r="A492" t="s">
        <v>2982</v>
      </c>
    </row>
    <row r="493" spans="1:2" x14ac:dyDescent="0.25">
      <c r="A493" t="s">
        <v>2674</v>
      </c>
    </row>
    <row r="494" spans="1:2" x14ac:dyDescent="0.25">
      <c r="A494" t="s">
        <v>2866</v>
      </c>
    </row>
    <row r="495" spans="1:2" x14ac:dyDescent="0.25">
      <c r="A495" t="s">
        <v>2983</v>
      </c>
    </row>
    <row r="496" spans="1:2" x14ac:dyDescent="0.25">
      <c r="A496" t="s">
        <v>2984</v>
      </c>
    </row>
    <row r="497" spans="1:1" x14ac:dyDescent="0.25">
      <c r="A497" t="s">
        <v>2985</v>
      </c>
    </row>
    <row r="498" spans="1:1" x14ac:dyDescent="0.25">
      <c r="A498" t="s">
        <v>2866</v>
      </c>
    </row>
    <row r="499" spans="1:1" x14ac:dyDescent="0.25">
      <c r="A499" t="s">
        <v>2986</v>
      </c>
    </row>
    <row r="500" spans="1:1" x14ac:dyDescent="0.25">
      <c r="A500" t="s">
        <v>2987</v>
      </c>
    </row>
    <row r="501" spans="1:1" x14ac:dyDescent="0.25">
      <c r="A501" t="s">
        <v>2988</v>
      </c>
    </row>
    <row r="502" spans="1:1" x14ac:dyDescent="0.25">
      <c r="A502" t="s">
        <v>2989</v>
      </c>
    </row>
    <row r="503" spans="1:1" x14ac:dyDescent="0.25">
      <c r="A503" t="s">
        <v>2990</v>
      </c>
    </row>
    <row r="504" spans="1:1" x14ac:dyDescent="0.25">
      <c r="A504" t="s">
        <v>2991</v>
      </c>
    </row>
    <row r="505" spans="1:1" x14ac:dyDescent="0.25">
      <c r="A505" t="s">
        <v>2992</v>
      </c>
    </row>
    <row r="506" spans="1:1" x14ac:dyDescent="0.25">
      <c r="A506" t="s">
        <v>2993</v>
      </c>
    </row>
    <row r="507" spans="1:1" x14ac:dyDescent="0.25">
      <c r="A507" t="s">
        <v>2994</v>
      </c>
    </row>
    <row r="508" spans="1:1" x14ac:dyDescent="0.25">
      <c r="A508" t="s">
        <v>2995</v>
      </c>
    </row>
    <row r="509" spans="1:1" x14ac:dyDescent="0.25">
      <c r="A509" t="s">
        <v>2996</v>
      </c>
    </row>
    <row r="510" spans="1:1" x14ac:dyDescent="0.25">
      <c r="A510" t="s">
        <v>2997</v>
      </c>
    </row>
    <row r="511" spans="1:1" x14ac:dyDescent="0.25">
      <c r="A511" t="s">
        <v>2998</v>
      </c>
    </row>
    <row r="512" spans="1:1" x14ac:dyDescent="0.25">
      <c r="A512" t="s">
        <v>2999</v>
      </c>
    </row>
    <row r="513" spans="1:1" x14ac:dyDescent="0.25">
      <c r="A513" t="s">
        <v>3000</v>
      </c>
    </row>
    <row r="514" spans="1:1" x14ac:dyDescent="0.25">
      <c r="A514" t="s">
        <v>3001</v>
      </c>
    </row>
    <row r="515" spans="1:1" x14ac:dyDescent="0.25">
      <c r="A515" t="s">
        <v>3002</v>
      </c>
    </row>
    <row r="516" spans="1:1" x14ac:dyDescent="0.25">
      <c r="A516" t="s">
        <v>3003</v>
      </c>
    </row>
    <row r="517" spans="1:1" x14ac:dyDescent="0.25">
      <c r="A517" t="s">
        <v>3004</v>
      </c>
    </row>
    <row r="518" spans="1:1" x14ac:dyDescent="0.25">
      <c r="A518" t="s">
        <v>3005</v>
      </c>
    </row>
    <row r="519" spans="1:1" x14ac:dyDescent="0.25">
      <c r="A519" t="s">
        <v>3006</v>
      </c>
    </row>
    <row r="520" spans="1:1" x14ac:dyDescent="0.25">
      <c r="A520" t="s">
        <v>3007</v>
      </c>
    </row>
    <row r="521" spans="1:1" x14ac:dyDescent="0.25">
      <c r="A521" t="s">
        <v>3008</v>
      </c>
    </row>
    <row r="522" spans="1:1" x14ac:dyDescent="0.25">
      <c r="A522" t="s">
        <v>3009</v>
      </c>
    </row>
    <row r="523" spans="1:1" x14ac:dyDescent="0.25">
      <c r="A523" t="s">
        <v>3010</v>
      </c>
    </row>
    <row r="524" spans="1:1" x14ac:dyDescent="0.25">
      <c r="A524" t="s">
        <v>3011</v>
      </c>
    </row>
    <row r="525" spans="1:1" x14ac:dyDescent="0.25">
      <c r="A525" t="s">
        <v>3012</v>
      </c>
    </row>
    <row r="526" spans="1:1" x14ac:dyDescent="0.25">
      <c r="A526" t="s">
        <v>3013</v>
      </c>
    </row>
    <row r="527" spans="1:1" x14ac:dyDescent="0.25">
      <c r="A527" t="s">
        <v>3014</v>
      </c>
    </row>
    <row r="528" spans="1:1" x14ac:dyDescent="0.25">
      <c r="A528" t="s">
        <v>3015</v>
      </c>
    </row>
    <row r="529" spans="1:1" x14ac:dyDescent="0.25">
      <c r="A529" t="s">
        <v>3016</v>
      </c>
    </row>
    <row r="530" spans="1:1" x14ac:dyDescent="0.25">
      <c r="A530" t="s">
        <v>2674</v>
      </c>
    </row>
    <row r="531" spans="1:1" x14ac:dyDescent="0.25">
      <c r="A531" t="s">
        <v>2718</v>
      </c>
    </row>
    <row r="532" spans="1:1" x14ac:dyDescent="0.25">
      <c r="A532" t="s">
        <v>2649</v>
      </c>
    </row>
    <row r="533" spans="1:1" x14ac:dyDescent="0.25">
      <c r="A533" t="s">
        <v>2684</v>
      </c>
    </row>
    <row r="534" spans="1:1" x14ac:dyDescent="0.25">
      <c r="A534" t="s">
        <v>2655</v>
      </c>
    </row>
    <row r="535" spans="1:1" x14ac:dyDescent="0.25">
      <c r="A535" t="s">
        <v>3017</v>
      </c>
    </row>
    <row r="536" spans="1:1" x14ac:dyDescent="0.25">
      <c r="A536" t="s">
        <v>3018</v>
      </c>
    </row>
    <row r="537" spans="1:1" x14ac:dyDescent="0.25">
      <c r="A537" t="s">
        <v>3019</v>
      </c>
    </row>
    <row r="538" spans="1:1" x14ac:dyDescent="0.25">
      <c r="A538" t="s">
        <v>3020</v>
      </c>
    </row>
    <row r="539" spans="1:1" x14ac:dyDescent="0.25">
      <c r="A539" t="s">
        <v>3021</v>
      </c>
    </row>
    <row r="540" spans="1:1" x14ac:dyDescent="0.25">
      <c r="A540" t="s">
        <v>3022</v>
      </c>
    </row>
    <row r="541" spans="1:1" x14ac:dyDescent="0.25">
      <c r="A541" t="s">
        <v>3023</v>
      </c>
    </row>
    <row r="542" spans="1:1" x14ac:dyDescent="0.25">
      <c r="A542" t="s">
        <v>3024</v>
      </c>
    </row>
    <row r="543" spans="1:1" x14ac:dyDescent="0.25">
      <c r="A543" t="s">
        <v>3025</v>
      </c>
    </row>
    <row r="544" spans="1:1" x14ac:dyDescent="0.25">
      <c r="A544" t="s">
        <v>3026</v>
      </c>
    </row>
    <row r="545" spans="1:1" x14ac:dyDescent="0.25">
      <c r="A545" t="s">
        <v>3027</v>
      </c>
    </row>
    <row r="546" spans="1:1" x14ac:dyDescent="0.25">
      <c r="A546" t="s">
        <v>2692</v>
      </c>
    </row>
    <row r="547" spans="1:1" x14ac:dyDescent="0.25">
      <c r="A547" t="s">
        <v>2655</v>
      </c>
    </row>
    <row r="548" spans="1:1" s="192" customFormat="1" x14ac:dyDescent="0.25">
      <c r="A548" s="192" t="s">
        <v>3028</v>
      </c>
    </row>
    <row r="549" spans="1:1" s="192" customFormat="1" x14ac:dyDescent="0.25">
      <c r="A549" s="192" t="s">
        <v>3029</v>
      </c>
    </row>
    <row r="550" spans="1:1" s="192" customFormat="1" x14ac:dyDescent="0.25">
      <c r="A550" s="192" t="s">
        <v>3030</v>
      </c>
    </row>
    <row r="551" spans="1:1" s="192" customFormat="1" x14ac:dyDescent="0.25">
      <c r="A551" s="192" t="s">
        <v>2647</v>
      </c>
    </row>
    <row r="552" spans="1:1" s="192" customFormat="1" x14ac:dyDescent="0.25">
      <c r="A552" s="192" t="s">
        <v>3031</v>
      </c>
    </row>
    <row r="553" spans="1:1" s="192" customFormat="1" x14ac:dyDescent="0.25">
      <c r="A553" s="192" t="s">
        <v>3032</v>
      </c>
    </row>
    <row r="554" spans="1:1" s="192" customFormat="1" x14ac:dyDescent="0.25">
      <c r="A554" s="192" t="s">
        <v>2649</v>
      </c>
    </row>
    <row r="555" spans="1:1" x14ac:dyDescent="0.25">
      <c r="A555" t="s">
        <v>2684</v>
      </c>
    </row>
    <row r="556" spans="1:1" x14ac:dyDescent="0.25">
      <c r="A556" t="s">
        <v>2655</v>
      </c>
    </row>
    <row r="557" spans="1:1" x14ac:dyDescent="0.25">
      <c r="A557" t="s">
        <v>3033</v>
      </c>
    </row>
    <row r="558" spans="1:1" x14ac:dyDescent="0.25">
      <c r="A558" t="s">
        <v>3034</v>
      </c>
    </row>
    <row r="559" spans="1:1" x14ac:dyDescent="0.25">
      <c r="A559" t="s">
        <v>2655</v>
      </c>
    </row>
    <row r="560" spans="1:1" x14ac:dyDescent="0.25">
      <c r="A560" t="s">
        <v>3035</v>
      </c>
    </row>
    <row r="561" spans="1:1" x14ac:dyDescent="0.25">
      <c r="A561" t="s">
        <v>3036</v>
      </c>
    </row>
    <row r="562" spans="1:1" x14ac:dyDescent="0.25">
      <c r="A562" t="s">
        <v>3037</v>
      </c>
    </row>
    <row r="563" spans="1:1" x14ac:dyDescent="0.25">
      <c r="A563" t="s">
        <v>3038</v>
      </c>
    </row>
    <row r="564" spans="1:1" x14ac:dyDescent="0.25">
      <c r="A564" t="s">
        <v>3039</v>
      </c>
    </row>
    <row r="565" spans="1:1" x14ac:dyDescent="0.25">
      <c r="A565" t="s">
        <v>2712</v>
      </c>
    </row>
    <row r="566" spans="1:1" x14ac:dyDescent="0.25">
      <c r="A566" t="s">
        <v>3040</v>
      </c>
    </row>
    <row r="567" spans="1:1" x14ac:dyDescent="0.25">
      <c r="A567" t="s">
        <v>2862</v>
      </c>
    </row>
    <row r="568" spans="1:1" x14ac:dyDescent="0.25">
      <c r="A568" t="s">
        <v>2863</v>
      </c>
    </row>
    <row r="569" spans="1:1" x14ac:dyDescent="0.25">
      <c r="A569" t="s">
        <v>3041</v>
      </c>
    </row>
    <row r="570" spans="1:1" x14ac:dyDescent="0.25">
      <c r="A570" t="s">
        <v>2718</v>
      </c>
    </row>
    <row r="571" spans="1:1" x14ac:dyDescent="0.25">
      <c r="A571" t="s">
        <v>3042</v>
      </c>
    </row>
    <row r="572" spans="1:1" x14ac:dyDescent="0.25">
      <c r="A572" t="s">
        <v>3043</v>
      </c>
    </row>
    <row r="573" spans="1:1" x14ac:dyDescent="0.25">
      <c r="A573" t="s">
        <v>2712</v>
      </c>
    </row>
    <row r="574" spans="1:1" x14ac:dyDescent="0.25">
      <c r="A574" t="s">
        <v>3044</v>
      </c>
    </row>
    <row r="575" spans="1:1" x14ac:dyDescent="0.25">
      <c r="A575" t="s">
        <v>2862</v>
      </c>
    </row>
    <row r="576" spans="1:1" x14ac:dyDescent="0.25">
      <c r="A576" t="s">
        <v>3041</v>
      </c>
    </row>
    <row r="577" spans="1:1" x14ac:dyDescent="0.25">
      <c r="A577" t="s">
        <v>2718</v>
      </c>
    </row>
    <row r="578" spans="1:1" x14ac:dyDescent="0.25">
      <c r="A578" t="s">
        <v>3042</v>
      </c>
    </row>
    <row r="579" spans="1:1" x14ac:dyDescent="0.25">
      <c r="A579" t="s">
        <v>3045</v>
      </c>
    </row>
    <row r="580" spans="1:1" x14ac:dyDescent="0.25">
      <c r="A580" t="s">
        <v>2712</v>
      </c>
    </row>
    <row r="581" spans="1:1" x14ac:dyDescent="0.25">
      <c r="A581" t="s">
        <v>3046</v>
      </c>
    </row>
    <row r="582" spans="1:1" x14ac:dyDescent="0.25">
      <c r="A582" t="s">
        <v>2862</v>
      </c>
    </row>
    <row r="583" spans="1:1" x14ac:dyDescent="0.25">
      <c r="A583" t="s">
        <v>2863</v>
      </c>
    </row>
    <row r="584" spans="1:1" x14ac:dyDescent="0.25">
      <c r="A584" t="s">
        <v>2864</v>
      </c>
    </row>
    <row r="585" spans="1:1" x14ac:dyDescent="0.25">
      <c r="A585" t="s">
        <v>3041</v>
      </c>
    </row>
    <row r="586" spans="1:1" x14ac:dyDescent="0.25">
      <c r="A586" t="s">
        <v>2718</v>
      </c>
    </row>
    <row r="587" spans="1:1" x14ac:dyDescent="0.25">
      <c r="A587" t="s">
        <v>3042</v>
      </c>
    </row>
    <row r="588" spans="1:1" x14ac:dyDescent="0.25">
      <c r="A588" t="s">
        <v>3047</v>
      </c>
    </row>
    <row r="589" spans="1:1" x14ac:dyDescent="0.25">
      <c r="A589" t="s">
        <v>2712</v>
      </c>
    </row>
    <row r="590" spans="1:1" x14ac:dyDescent="0.25">
      <c r="A590" t="s">
        <v>3048</v>
      </c>
    </row>
    <row r="591" spans="1:1" x14ac:dyDescent="0.25">
      <c r="A591" t="s">
        <v>2862</v>
      </c>
    </row>
    <row r="592" spans="1:1" x14ac:dyDescent="0.25">
      <c r="A592" t="s">
        <v>3049</v>
      </c>
    </row>
    <row r="593" spans="1:1" x14ac:dyDescent="0.25">
      <c r="A593" t="s">
        <v>3041</v>
      </c>
    </row>
    <row r="594" spans="1:1" x14ac:dyDescent="0.25">
      <c r="A594" t="s">
        <v>2718</v>
      </c>
    </row>
    <row r="595" spans="1:1" x14ac:dyDescent="0.25">
      <c r="A595" t="s">
        <v>3042</v>
      </c>
    </row>
    <row r="596" spans="1:1" x14ac:dyDescent="0.25">
      <c r="A596" t="s">
        <v>3050</v>
      </c>
    </row>
    <row r="597" spans="1:1" x14ac:dyDescent="0.25">
      <c r="A597" t="s">
        <v>2712</v>
      </c>
    </row>
    <row r="598" spans="1:1" x14ac:dyDescent="0.25">
      <c r="A598" t="s">
        <v>3051</v>
      </c>
    </row>
    <row r="599" spans="1:1" x14ac:dyDescent="0.25">
      <c r="A599" t="s">
        <v>2862</v>
      </c>
    </row>
    <row r="600" spans="1:1" x14ac:dyDescent="0.25">
      <c r="A600" t="s">
        <v>3049</v>
      </c>
    </row>
    <row r="601" spans="1:1" x14ac:dyDescent="0.25">
      <c r="A601" t="s">
        <v>3041</v>
      </c>
    </row>
    <row r="602" spans="1:1" x14ac:dyDescent="0.25">
      <c r="A602" t="s">
        <v>2718</v>
      </c>
    </row>
    <row r="603" spans="1:1" x14ac:dyDescent="0.25">
      <c r="A603" t="s">
        <v>3042</v>
      </c>
    </row>
    <row r="604" spans="1:1" x14ac:dyDescent="0.25">
      <c r="A604" t="s">
        <v>3052</v>
      </c>
    </row>
    <row r="605" spans="1:1" x14ac:dyDescent="0.25">
      <c r="A605" t="s">
        <v>2712</v>
      </c>
    </row>
    <row r="606" spans="1:1" x14ac:dyDescent="0.25">
      <c r="A606" t="s">
        <v>3053</v>
      </c>
    </row>
    <row r="607" spans="1:1" x14ac:dyDescent="0.25">
      <c r="A607" t="s">
        <v>2862</v>
      </c>
    </row>
    <row r="608" spans="1:1" x14ac:dyDescent="0.25">
      <c r="A608" t="s">
        <v>3041</v>
      </c>
    </row>
    <row r="609" spans="1:1" x14ac:dyDescent="0.25">
      <c r="A609" t="s">
        <v>2718</v>
      </c>
    </row>
    <row r="610" spans="1:1" x14ac:dyDescent="0.25">
      <c r="A610" t="s">
        <v>3042</v>
      </c>
    </row>
    <row r="611" spans="1:1" x14ac:dyDescent="0.25">
      <c r="A611" t="s">
        <v>3054</v>
      </c>
    </row>
    <row r="612" spans="1:1" x14ac:dyDescent="0.25">
      <c r="A612" t="s">
        <v>2712</v>
      </c>
    </row>
    <row r="613" spans="1:1" x14ac:dyDescent="0.25">
      <c r="A613" t="s">
        <v>3055</v>
      </c>
    </row>
    <row r="614" spans="1:1" x14ac:dyDescent="0.25">
      <c r="A614" t="s">
        <v>2862</v>
      </c>
    </row>
    <row r="615" spans="1:1" x14ac:dyDescent="0.25">
      <c r="A615" t="s">
        <v>3041</v>
      </c>
    </row>
    <row r="616" spans="1:1" x14ac:dyDescent="0.25">
      <c r="A616" t="s">
        <v>2718</v>
      </c>
    </row>
    <row r="617" spans="1:1" x14ac:dyDescent="0.25">
      <c r="A617" t="s">
        <v>2719</v>
      </c>
    </row>
    <row r="618" spans="1:1" x14ac:dyDescent="0.25">
      <c r="A618" t="s">
        <v>2740</v>
      </c>
    </row>
    <row r="619" spans="1:1" x14ac:dyDescent="0.25">
      <c r="A619" t="s">
        <v>3056</v>
      </c>
    </row>
    <row r="620" spans="1:1" x14ac:dyDescent="0.25">
      <c r="A620" t="s">
        <v>2655</v>
      </c>
    </row>
    <row r="621" spans="1:1" x14ac:dyDescent="0.25">
      <c r="A621" t="s">
        <v>3057</v>
      </c>
    </row>
    <row r="622" spans="1:1" x14ac:dyDescent="0.25">
      <c r="A622" t="s">
        <v>3058</v>
      </c>
    </row>
    <row r="623" spans="1:1" x14ac:dyDescent="0.25">
      <c r="A623" t="s">
        <v>3059</v>
      </c>
    </row>
    <row r="624" spans="1:1" x14ac:dyDescent="0.25">
      <c r="A624" t="s">
        <v>2647</v>
      </c>
    </row>
    <row r="625" spans="1:1" x14ac:dyDescent="0.25">
      <c r="A625" t="s">
        <v>3060</v>
      </c>
    </row>
    <row r="626" spans="1:1" x14ac:dyDescent="0.25">
      <c r="A626" t="s">
        <v>3061</v>
      </c>
    </row>
    <row r="627" spans="1:1" x14ac:dyDescent="0.25">
      <c r="A627" t="s">
        <v>3062</v>
      </c>
    </row>
    <row r="628" spans="1:1" x14ac:dyDescent="0.25">
      <c r="A628" t="s">
        <v>3063</v>
      </c>
    </row>
    <row r="629" spans="1:1" x14ac:dyDescent="0.25">
      <c r="A629" t="s">
        <v>2649</v>
      </c>
    </row>
    <row r="630" spans="1:1" x14ac:dyDescent="0.25">
      <c r="A630" t="s">
        <v>2684</v>
      </c>
    </row>
    <row r="631" spans="1:1" x14ac:dyDescent="0.25">
      <c r="A631" t="s">
        <v>2655</v>
      </c>
    </row>
    <row r="632" spans="1:1" x14ac:dyDescent="0.25">
      <c r="A632" t="s">
        <v>3064</v>
      </c>
    </row>
    <row r="633" spans="1:1" x14ac:dyDescent="0.25">
      <c r="A633" t="s">
        <v>3065</v>
      </c>
    </row>
    <row r="634" spans="1:1" x14ac:dyDescent="0.25">
      <c r="A634" t="s">
        <v>3066</v>
      </c>
    </row>
    <row r="635" spans="1:1" x14ac:dyDescent="0.25">
      <c r="A635" t="s">
        <v>2647</v>
      </c>
    </row>
    <row r="636" spans="1:1" x14ac:dyDescent="0.25">
      <c r="A636" t="s">
        <v>3067</v>
      </c>
    </row>
    <row r="637" spans="1:1" x14ac:dyDescent="0.25">
      <c r="A637" t="s">
        <v>3068</v>
      </c>
    </row>
    <row r="638" spans="1:1" x14ac:dyDescent="0.25">
      <c r="A638" t="s">
        <v>3069</v>
      </c>
    </row>
    <row r="639" spans="1:1" x14ac:dyDescent="0.25">
      <c r="A639" t="s">
        <v>3070</v>
      </c>
    </row>
    <row r="640" spans="1:1" x14ac:dyDescent="0.25">
      <c r="A640" t="s">
        <v>3071</v>
      </c>
    </row>
    <row r="641" spans="1:1" x14ac:dyDescent="0.25">
      <c r="A641" t="s">
        <v>2649</v>
      </c>
    </row>
    <row r="642" spans="1:1" x14ac:dyDescent="0.25">
      <c r="A642" t="s">
        <v>2650</v>
      </c>
    </row>
    <row r="643" spans="1:1" x14ac:dyDescent="0.25">
      <c r="A643" t="s">
        <v>3072</v>
      </c>
    </row>
    <row r="644" spans="1:1" x14ac:dyDescent="0.25">
      <c r="A644" t="s">
        <v>3073</v>
      </c>
    </row>
    <row r="645" spans="1:1" x14ac:dyDescent="0.25">
      <c r="A645" t="s">
        <v>2647</v>
      </c>
    </row>
    <row r="646" spans="1:1" x14ac:dyDescent="0.25">
      <c r="A646" t="s">
        <v>3067</v>
      </c>
    </row>
    <row r="647" spans="1:1" x14ac:dyDescent="0.25">
      <c r="A647" t="s">
        <v>3068</v>
      </c>
    </row>
    <row r="648" spans="1:1" x14ac:dyDescent="0.25">
      <c r="A648" t="s">
        <v>3069</v>
      </c>
    </row>
    <row r="649" spans="1:1" x14ac:dyDescent="0.25">
      <c r="A649" t="s">
        <v>3070</v>
      </c>
    </row>
    <row r="650" spans="1:1" x14ac:dyDescent="0.25">
      <c r="A650" t="s">
        <v>3071</v>
      </c>
    </row>
    <row r="651" spans="1:1" x14ac:dyDescent="0.25">
      <c r="A651" t="s">
        <v>2649</v>
      </c>
    </row>
    <row r="652" spans="1:1" x14ac:dyDescent="0.25">
      <c r="A652" t="s">
        <v>2650</v>
      </c>
    </row>
    <row r="653" spans="1:1" x14ac:dyDescent="0.25">
      <c r="A653" t="s">
        <v>3074</v>
      </c>
    </row>
    <row r="654" spans="1:1" x14ac:dyDescent="0.25">
      <c r="A654" t="s">
        <v>3075</v>
      </c>
    </row>
    <row r="655" spans="1:1" x14ac:dyDescent="0.25">
      <c r="A655" t="s">
        <v>2740</v>
      </c>
    </row>
    <row r="656" spans="1:1" x14ac:dyDescent="0.25">
      <c r="A656" t="s">
        <v>3076</v>
      </c>
    </row>
    <row r="657" spans="1:1" x14ac:dyDescent="0.25">
      <c r="A657" t="s">
        <v>3077</v>
      </c>
    </row>
    <row r="658" spans="1:1" x14ac:dyDescent="0.25">
      <c r="A658" t="s">
        <v>3078</v>
      </c>
    </row>
    <row r="659" spans="1:1" x14ac:dyDescent="0.25">
      <c r="A659" t="s">
        <v>3079</v>
      </c>
    </row>
    <row r="660" spans="1:1" x14ac:dyDescent="0.25">
      <c r="A660" t="s">
        <v>3080</v>
      </c>
    </row>
    <row r="661" spans="1:1" x14ac:dyDescent="0.25">
      <c r="A661" t="s">
        <v>3081</v>
      </c>
    </row>
    <row r="662" spans="1:1" x14ac:dyDescent="0.25">
      <c r="A662" t="s">
        <v>3082</v>
      </c>
    </row>
    <row r="663" spans="1:1" x14ac:dyDescent="0.25">
      <c r="A663" t="s">
        <v>2692</v>
      </c>
    </row>
    <row r="664" spans="1:1" x14ac:dyDescent="0.25">
      <c r="A664" t="s">
        <v>2655</v>
      </c>
    </row>
    <row r="665" spans="1:1" x14ac:dyDescent="0.25">
      <c r="A665" t="s">
        <v>3083</v>
      </c>
    </row>
    <row r="666" spans="1:1" x14ac:dyDescent="0.25">
      <c r="A666" t="s">
        <v>3084</v>
      </c>
    </row>
    <row r="667" spans="1:1" x14ac:dyDescent="0.25">
      <c r="A667" t="s">
        <v>3085</v>
      </c>
    </row>
    <row r="668" spans="1:1" x14ac:dyDescent="0.25">
      <c r="A668" t="s">
        <v>3086</v>
      </c>
    </row>
    <row r="669" spans="1:1" x14ac:dyDescent="0.25">
      <c r="A669" t="s">
        <v>2647</v>
      </c>
    </row>
    <row r="670" spans="1:1" x14ac:dyDescent="0.25">
      <c r="A670" t="s">
        <v>3087</v>
      </c>
    </row>
    <row r="671" spans="1:1" x14ac:dyDescent="0.25">
      <c r="A671" t="s">
        <v>3088</v>
      </c>
    </row>
    <row r="672" spans="1:1" x14ac:dyDescent="0.25">
      <c r="A672" t="s">
        <v>3089</v>
      </c>
    </row>
    <row r="673" spans="1:1" x14ac:dyDescent="0.25">
      <c r="A673" t="s">
        <v>3090</v>
      </c>
    </row>
    <row r="674" spans="1:1" x14ac:dyDescent="0.25">
      <c r="A674" t="s">
        <v>3091</v>
      </c>
    </row>
    <row r="675" spans="1:1" x14ac:dyDescent="0.25">
      <c r="A675" t="s">
        <v>2649</v>
      </c>
    </row>
    <row r="676" spans="1:1" x14ac:dyDescent="0.25">
      <c r="A676" t="s">
        <v>2650</v>
      </c>
    </row>
    <row r="677" spans="1:1" x14ac:dyDescent="0.25">
      <c r="A677" t="s">
        <v>3092</v>
      </c>
    </row>
    <row r="678" spans="1:1" x14ac:dyDescent="0.25">
      <c r="A678" t="s">
        <v>3093</v>
      </c>
    </row>
    <row r="679" spans="1:1" x14ac:dyDescent="0.25">
      <c r="A679" t="s">
        <v>2647</v>
      </c>
    </row>
    <row r="680" spans="1:1" x14ac:dyDescent="0.25">
      <c r="A680" t="s">
        <v>3087</v>
      </c>
    </row>
    <row r="681" spans="1:1" x14ac:dyDescent="0.25">
      <c r="A681" t="s">
        <v>3094</v>
      </c>
    </row>
    <row r="682" spans="1:1" x14ac:dyDescent="0.25">
      <c r="A682" t="s">
        <v>3089</v>
      </c>
    </row>
    <row r="683" spans="1:1" x14ac:dyDescent="0.25">
      <c r="A683" t="s">
        <v>3090</v>
      </c>
    </row>
    <row r="684" spans="1:1" x14ac:dyDescent="0.25">
      <c r="A684" t="s">
        <v>3095</v>
      </c>
    </row>
    <row r="685" spans="1:1" x14ac:dyDescent="0.25">
      <c r="A685" t="s">
        <v>3096</v>
      </c>
    </row>
    <row r="686" spans="1:1" x14ac:dyDescent="0.25">
      <c r="A686" t="s">
        <v>2649</v>
      </c>
    </row>
    <row r="687" spans="1:1" x14ac:dyDescent="0.25">
      <c r="A687" t="s">
        <v>2650</v>
      </c>
    </row>
    <row r="688" spans="1:1" x14ac:dyDescent="0.25">
      <c r="A688" t="s">
        <v>3097</v>
      </c>
    </row>
    <row r="689" spans="1:1" x14ac:dyDescent="0.25">
      <c r="A689" t="s">
        <v>3098</v>
      </c>
    </row>
    <row r="690" spans="1:1" x14ac:dyDescent="0.25">
      <c r="A690" t="s">
        <v>2647</v>
      </c>
    </row>
    <row r="691" spans="1:1" x14ac:dyDescent="0.25">
      <c r="A691" t="s">
        <v>3099</v>
      </c>
    </row>
    <row r="692" spans="1:1" x14ac:dyDescent="0.25">
      <c r="A692" t="s">
        <v>3089</v>
      </c>
    </row>
    <row r="693" spans="1:1" x14ac:dyDescent="0.25">
      <c r="A693" t="s">
        <v>3100</v>
      </c>
    </row>
    <row r="694" spans="1:1" x14ac:dyDescent="0.25">
      <c r="A694" t="s">
        <v>3101</v>
      </c>
    </row>
    <row r="695" spans="1:1" x14ac:dyDescent="0.25">
      <c r="A695" t="s">
        <v>2649</v>
      </c>
    </row>
    <row r="696" spans="1:1" x14ac:dyDescent="0.25">
      <c r="A696" t="s">
        <v>2650</v>
      </c>
    </row>
    <row r="697" spans="1:1" x14ac:dyDescent="0.25">
      <c r="A697" t="s">
        <v>3102</v>
      </c>
    </row>
    <row r="698" spans="1:1" x14ac:dyDescent="0.25">
      <c r="A698" t="s">
        <v>3103</v>
      </c>
    </row>
    <row r="699" spans="1:1" x14ac:dyDescent="0.25">
      <c r="A699" t="s">
        <v>2647</v>
      </c>
    </row>
    <row r="700" spans="1:1" x14ac:dyDescent="0.25">
      <c r="A700" t="s">
        <v>3104</v>
      </c>
    </row>
    <row r="701" spans="1:1" x14ac:dyDescent="0.25">
      <c r="A701" t="s">
        <v>3089</v>
      </c>
    </row>
    <row r="702" spans="1:1" x14ac:dyDescent="0.25">
      <c r="A702" t="s">
        <v>3101</v>
      </c>
    </row>
    <row r="703" spans="1:1" x14ac:dyDescent="0.25">
      <c r="A703" t="s">
        <v>2649</v>
      </c>
    </row>
    <row r="704" spans="1:1" x14ac:dyDescent="0.25">
      <c r="A704" t="s">
        <v>2684</v>
      </c>
    </row>
    <row r="705" spans="1:2" x14ac:dyDescent="0.25">
      <c r="A705" t="s">
        <v>2655</v>
      </c>
    </row>
    <row r="706" spans="1:2" x14ac:dyDescent="0.25">
      <c r="A706" t="s">
        <v>3105</v>
      </c>
      <c r="B706" t="s">
        <v>3328</v>
      </c>
    </row>
    <row r="707" spans="1:2" x14ac:dyDescent="0.25">
      <c r="A707" t="s">
        <v>3106</v>
      </c>
    </row>
    <row r="708" spans="1:2" x14ac:dyDescent="0.25">
      <c r="A708" t="s">
        <v>3107</v>
      </c>
    </row>
    <row r="709" spans="1:2" x14ac:dyDescent="0.25">
      <c r="A709" t="s">
        <v>3108</v>
      </c>
    </row>
    <row r="710" spans="1:2" x14ac:dyDescent="0.25">
      <c r="A710" t="s">
        <v>2647</v>
      </c>
    </row>
    <row r="711" spans="1:2" x14ac:dyDescent="0.25">
      <c r="A711" t="s">
        <v>3109</v>
      </c>
    </row>
    <row r="712" spans="1:2" x14ac:dyDescent="0.25">
      <c r="A712" t="s">
        <v>2678</v>
      </c>
    </row>
    <row r="713" spans="1:2" x14ac:dyDescent="0.25">
      <c r="A713" t="s">
        <v>3110</v>
      </c>
      <c r="B713" t="s">
        <v>3327</v>
      </c>
    </row>
    <row r="714" spans="1:2" x14ac:dyDescent="0.25">
      <c r="A714" t="s">
        <v>3068</v>
      </c>
    </row>
    <row r="715" spans="1:2" x14ac:dyDescent="0.25">
      <c r="A715" t="s">
        <v>3069</v>
      </c>
    </row>
    <row r="716" spans="1:2" x14ac:dyDescent="0.25">
      <c r="A716" t="s">
        <v>3111</v>
      </c>
    </row>
    <row r="717" spans="1:2" x14ac:dyDescent="0.25">
      <c r="A717" t="s">
        <v>2649</v>
      </c>
    </row>
    <row r="718" spans="1:2" x14ac:dyDescent="0.25">
      <c r="A718" t="s">
        <v>2650</v>
      </c>
    </row>
    <row r="719" spans="1:2" x14ac:dyDescent="0.25">
      <c r="A719" t="s">
        <v>3112</v>
      </c>
    </row>
    <row r="720" spans="1:2" x14ac:dyDescent="0.25">
      <c r="A720" t="s">
        <v>3113</v>
      </c>
    </row>
    <row r="721" spans="1:1" x14ac:dyDescent="0.25">
      <c r="A721" t="s">
        <v>2647</v>
      </c>
    </row>
    <row r="722" spans="1:1" x14ac:dyDescent="0.25">
      <c r="A722" t="s">
        <v>3114</v>
      </c>
    </row>
    <row r="723" spans="1:1" x14ac:dyDescent="0.25">
      <c r="A723" t="s">
        <v>3115</v>
      </c>
    </row>
    <row r="724" spans="1:1" x14ac:dyDescent="0.25">
      <c r="A724" t="s">
        <v>3068</v>
      </c>
    </row>
    <row r="725" spans="1:1" x14ac:dyDescent="0.25">
      <c r="A725" t="s">
        <v>3069</v>
      </c>
    </row>
    <row r="726" spans="1:1" x14ac:dyDescent="0.25">
      <c r="A726" t="s">
        <v>3070</v>
      </c>
    </row>
    <row r="727" spans="1:1" x14ac:dyDescent="0.25">
      <c r="A727" t="s">
        <v>3071</v>
      </c>
    </row>
    <row r="728" spans="1:1" x14ac:dyDescent="0.25">
      <c r="A728" t="s">
        <v>2649</v>
      </c>
    </row>
    <row r="729" spans="1:1" x14ac:dyDescent="0.25">
      <c r="A729" t="s">
        <v>2684</v>
      </c>
    </row>
    <row r="730" spans="1:1" x14ac:dyDescent="0.25">
      <c r="A730" t="s">
        <v>2655</v>
      </c>
    </row>
    <row r="731" spans="1:1" x14ac:dyDescent="0.25">
      <c r="A731" t="s">
        <v>3116</v>
      </c>
    </row>
    <row r="732" spans="1:1" x14ac:dyDescent="0.25">
      <c r="A732" t="s">
        <v>3117</v>
      </c>
    </row>
    <row r="733" spans="1:1" x14ac:dyDescent="0.25">
      <c r="A733" t="s">
        <v>3118</v>
      </c>
    </row>
    <row r="734" spans="1:1" x14ac:dyDescent="0.25">
      <c r="A734" t="s">
        <v>3119</v>
      </c>
    </row>
    <row r="735" spans="1:1" x14ac:dyDescent="0.25">
      <c r="A735" t="s">
        <v>3120</v>
      </c>
    </row>
    <row r="736" spans="1:1" x14ac:dyDescent="0.25">
      <c r="A736" t="s">
        <v>2712</v>
      </c>
    </row>
    <row r="737" spans="1:2" x14ac:dyDescent="0.25">
      <c r="A737" t="s">
        <v>3121</v>
      </c>
    </row>
    <row r="738" spans="1:2" x14ac:dyDescent="0.25">
      <c r="A738" t="s">
        <v>3122</v>
      </c>
    </row>
    <row r="739" spans="1:2" x14ac:dyDescent="0.25">
      <c r="A739" t="s">
        <v>2718</v>
      </c>
    </row>
    <row r="740" spans="1:2" x14ac:dyDescent="0.25">
      <c r="A740" t="s">
        <v>2719</v>
      </c>
    </row>
    <row r="741" spans="1:2" x14ac:dyDescent="0.25">
      <c r="A741" t="s">
        <v>2692</v>
      </c>
    </row>
    <row r="742" spans="1:2" x14ac:dyDescent="0.25">
      <c r="A742" t="s">
        <v>2655</v>
      </c>
    </row>
    <row r="743" spans="1:2" x14ac:dyDescent="0.25">
      <c r="A743" t="s">
        <v>3123</v>
      </c>
      <c r="B743" t="s">
        <v>3329</v>
      </c>
    </row>
    <row r="744" spans="1:2" x14ac:dyDescent="0.25">
      <c r="A744" t="s">
        <v>3124</v>
      </c>
    </row>
    <row r="745" spans="1:2" x14ac:dyDescent="0.25">
      <c r="A745" t="s">
        <v>3125</v>
      </c>
    </row>
    <row r="746" spans="1:2" x14ac:dyDescent="0.25">
      <c r="A746" t="s">
        <v>3126</v>
      </c>
    </row>
    <row r="747" spans="1:2" x14ac:dyDescent="0.25">
      <c r="A747" t="s">
        <v>3127</v>
      </c>
    </row>
    <row r="748" spans="1:2" x14ac:dyDescent="0.25">
      <c r="A748" t="s">
        <v>3128</v>
      </c>
      <c r="B748" t="s">
        <v>3327</v>
      </c>
    </row>
    <row r="749" spans="1:2" x14ac:dyDescent="0.25">
      <c r="A749" t="s">
        <v>3129</v>
      </c>
    </row>
    <row r="750" spans="1:2" x14ac:dyDescent="0.25">
      <c r="A750" t="s">
        <v>3130</v>
      </c>
    </row>
    <row r="751" spans="1:2" x14ac:dyDescent="0.25">
      <c r="A751" t="s">
        <v>2740</v>
      </c>
    </row>
    <row r="752" spans="1:2" x14ac:dyDescent="0.25">
      <c r="A752" t="s">
        <v>3131</v>
      </c>
    </row>
    <row r="753" spans="1:1" x14ac:dyDescent="0.25">
      <c r="A753" t="s">
        <v>2647</v>
      </c>
    </row>
    <row r="754" spans="1:1" x14ac:dyDescent="0.25">
      <c r="A754" t="s">
        <v>3132</v>
      </c>
    </row>
    <row r="755" spans="1:1" x14ac:dyDescent="0.25">
      <c r="A755" t="s">
        <v>3133</v>
      </c>
    </row>
    <row r="756" spans="1:1" x14ac:dyDescent="0.25">
      <c r="A756" t="s">
        <v>3134</v>
      </c>
    </row>
    <row r="757" spans="1:1" x14ac:dyDescent="0.25">
      <c r="A757" t="s">
        <v>2649</v>
      </c>
    </row>
    <row r="758" spans="1:1" x14ac:dyDescent="0.25">
      <c r="A758" t="s">
        <v>2650</v>
      </c>
    </row>
    <row r="759" spans="1:1" x14ac:dyDescent="0.25">
      <c r="A759" t="s">
        <v>3135</v>
      </c>
    </row>
    <row r="760" spans="1:1" x14ac:dyDescent="0.25">
      <c r="A760" t="s">
        <v>3136</v>
      </c>
    </row>
    <row r="761" spans="1:1" x14ac:dyDescent="0.25">
      <c r="A761" t="s">
        <v>2647</v>
      </c>
    </row>
    <row r="762" spans="1:1" x14ac:dyDescent="0.25">
      <c r="A762" t="s">
        <v>3137</v>
      </c>
    </row>
    <row r="763" spans="1:1" x14ac:dyDescent="0.25">
      <c r="A763" t="s">
        <v>3067</v>
      </c>
    </row>
    <row r="764" spans="1:1" x14ac:dyDescent="0.25">
      <c r="A764" t="s">
        <v>3068</v>
      </c>
    </row>
    <row r="765" spans="1:1" x14ac:dyDescent="0.25">
      <c r="A765" t="s">
        <v>3069</v>
      </c>
    </row>
    <row r="766" spans="1:1" x14ac:dyDescent="0.25">
      <c r="A766" t="s">
        <v>3070</v>
      </c>
    </row>
    <row r="767" spans="1:1" x14ac:dyDescent="0.25">
      <c r="A767" t="s">
        <v>3071</v>
      </c>
    </row>
    <row r="768" spans="1:1" x14ac:dyDescent="0.25">
      <c r="A768" t="s">
        <v>2649</v>
      </c>
    </row>
    <row r="769" spans="1:3" x14ac:dyDescent="0.25">
      <c r="A769" t="s">
        <v>2650</v>
      </c>
    </row>
    <row r="770" spans="1:3" x14ac:dyDescent="0.25">
      <c r="A770" t="s">
        <v>3138</v>
      </c>
    </row>
    <row r="771" spans="1:3" x14ac:dyDescent="0.25">
      <c r="A771" t="s">
        <v>2647</v>
      </c>
    </row>
    <row r="772" spans="1:3" x14ac:dyDescent="0.25">
      <c r="A772" t="s">
        <v>3137</v>
      </c>
    </row>
    <row r="773" spans="1:3" x14ac:dyDescent="0.25">
      <c r="A773" t="s">
        <v>3139</v>
      </c>
    </row>
    <row r="774" spans="1:3" x14ac:dyDescent="0.25">
      <c r="A774" t="s">
        <v>3068</v>
      </c>
    </row>
    <row r="775" spans="1:3" x14ac:dyDescent="0.25">
      <c r="A775" t="s">
        <v>3069</v>
      </c>
    </row>
    <row r="776" spans="1:3" x14ac:dyDescent="0.25">
      <c r="A776" t="s">
        <v>3070</v>
      </c>
    </row>
    <row r="777" spans="1:3" x14ac:dyDescent="0.25">
      <c r="A777" t="s">
        <v>3071</v>
      </c>
    </row>
    <row r="778" spans="1:3" x14ac:dyDescent="0.25">
      <c r="A778" t="s">
        <v>2649</v>
      </c>
    </row>
    <row r="779" spans="1:3" x14ac:dyDescent="0.25">
      <c r="A779" t="s">
        <v>2684</v>
      </c>
    </row>
    <row r="780" spans="1:3" x14ac:dyDescent="0.25">
      <c r="A780" t="s">
        <v>2655</v>
      </c>
    </row>
    <row r="781" spans="1:3" x14ac:dyDescent="0.25">
      <c r="A781" t="s">
        <v>3140</v>
      </c>
    </row>
    <row r="782" spans="1:3" x14ac:dyDescent="0.25">
      <c r="A782" t="s">
        <v>3141</v>
      </c>
      <c r="B782" t="s">
        <v>3330</v>
      </c>
      <c r="C782" t="s">
        <v>3337</v>
      </c>
    </row>
    <row r="783" spans="1:3" x14ac:dyDescent="0.25">
      <c r="A783" t="s">
        <v>3142</v>
      </c>
      <c r="B783" t="s">
        <v>3331</v>
      </c>
      <c r="C783" t="s">
        <v>3337</v>
      </c>
    </row>
    <row r="784" spans="1:3" x14ac:dyDescent="0.25">
      <c r="A784" t="s">
        <v>3143</v>
      </c>
      <c r="B784" t="s">
        <v>3332</v>
      </c>
      <c r="C784" t="s">
        <v>3337</v>
      </c>
    </row>
    <row r="785" spans="1:3" x14ac:dyDescent="0.25">
      <c r="A785" t="s">
        <v>3144</v>
      </c>
      <c r="B785" t="s">
        <v>3333</v>
      </c>
      <c r="C785" t="s">
        <v>3337</v>
      </c>
    </row>
    <row r="786" spans="1:3" x14ac:dyDescent="0.25">
      <c r="A786" t="s">
        <v>3145</v>
      </c>
      <c r="B786" t="s">
        <v>3334</v>
      </c>
      <c r="C786" t="s">
        <v>3337</v>
      </c>
    </row>
    <row r="787" spans="1:3" x14ac:dyDescent="0.25">
      <c r="A787" t="s">
        <v>3146</v>
      </c>
      <c r="B787" t="s">
        <v>3335</v>
      </c>
      <c r="C787" t="s">
        <v>3337</v>
      </c>
    </row>
    <row r="788" spans="1:3" x14ac:dyDescent="0.25">
      <c r="A788" t="s">
        <v>3147</v>
      </c>
      <c r="B788" t="s">
        <v>3336</v>
      </c>
      <c r="C788" t="s">
        <v>3338</v>
      </c>
    </row>
    <row r="789" spans="1:3" x14ac:dyDescent="0.25">
      <c r="A789" t="s">
        <v>2655</v>
      </c>
    </row>
    <row r="790" spans="1:3" x14ac:dyDescent="0.25">
      <c r="A790" t="s">
        <v>3148</v>
      </c>
    </row>
    <row r="791" spans="1:3" x14ac:dyDescent="0.25">
      <c r="A791" t="s">
        <v>3149</v>
      </c>
    </row>
    <row r="792" spans="1:3" x14ac:dyDescent="0.25">
      <c r="A792" t="s">
        <v>3150</v>
      </c>
    </row>
    <row r="793" spans="1:3" x14ac:dyDescent="0.25">
      <c r="A793" t="s">
        <v>3151</v>
      </c>
    </row>
    <row r="794" spans="1:3" x14ac:dyDescent="0.25">
      <c r="A794" t="s">
        <v>3152</v>
      </c>
    </row>
    <row r="795" spans="1:3" x14ac:dyDescent="0.25">
      <c r="A795" t="s">
        <v>3153</v>
      </c>
    </row>
    <row r="796" spans="1:3" x14ac:dyDescent="0.25">
      <c r="A796" t="s">
        <v>3154</v>
      </c>
    </row>
    <row r="797" spans="1:3" x14ac:dyDescent="0.25">
      <c r="A797" t="s">
        <v>3155</v>
      </c>
    </row>
    <row r="798" spans="1:3" x14ac:dyDescent="0.25">
      <c r="A798" t="s">
        <v>3156</v>
      </c>
    </row>
    <row r="799" spans="1:3" x14ac:dyDescent="0.25">
      <c r="A799" t="s">
        <v>3157</v>
      </c>
      <c r="B799" t="s">
        <v>3339</v>
      </c>
    </row>
    <row r="800" spans="1:3" x14ac:dyDescent="0.25">
      <c r="A800" t="s">
        <v>3158</v>
      </c>
    </row>
    <row r="801" spans="1:1" x14ac:dyDescent="0.25">
      <c r="A801" t="s">
        <v>2669</v>
      </c>
    </row>
    <row r="802" spans="1:1" x14ac:dyDescent="0.25">
      <c r="A802" t="s">
        <v>3159</v>
      </c>
    </row>
    <row r="803" spans="1:1" x14ac:dyDescent="0.25">
      <c r="A803" t="s">
        <v>2882</v>
      </c>
    </row>
    <row r="804" spans="1:1" x14ac:dyDescent="0.25">
      <c r="A804" t="s">
        <v>2883</v>
      </c>
    </row>
    <row r="805" spans="1:1" x14ac:dyDescent="0.25">
      <c r="A805" t="s">
        <v>2884</v>
      </c>
    </row>
    <row r="806" spans="1:1" x14ac:dyDescent="0.25">
      <c r="A806" t="s">
        <v>3160</v>
      </c>
    </row>
    <row r="807" spans="1:1" x14ac:dyDescent="0.25">
      <c r="A807" t="s">
        <v>3161</v>
      </c>
    </row>
    <row r="808" spans="1:1" x14ac:dyDescent="0.25">
      <c r="A808" t="s">
        <v>2674</v>
      </c>
    </row>
    <row r="809" spans="1:1" x14ac:dyDescent="0.25">
      <c r="A809" t="s">
        <v>2675</v>
      </c>
    </row>
    <row r="810" spans="1:1" x14ac:dyDescent="0.25">
      <c r="A810" t="s">
        <v>2769</v>
      </c>
    </row>
    <row r="811" spans="1:1" x14ac:dyDescent="0.25">
      <c r="A811" t="s">
        <v>3162</v>
      </c>
    </row>
    <row r="812" spans="1:1" x14ac:dyDescent="0.25">
      <c r="A812" t="s">
        <v>3154</v>
      </c>
    </row>
    <row r="813" spans="1:1" x14ac:dyDescent="0.25">
      <c r="A813" t="s">
        <v>3155</v>
      </c>
    </row>
    <row r="814" spans="1:1" x14ac:dyDescent="0.25">
      <c r="A814" t="s">
        <v>3156</v>
      </c>
    </row>
    <row r="815" spans="1:1" x14ac:dyDescent="0.25">
      <c r="A815" t="s">
        <v>3157</v>
      </c>
    </row>
    <row r="816" spans="1:1" x14ac:dyDescent="0.25">
      <c r="A816" t="s">
        <v>3158</v>
      </c>
    </row>
    <row r="817" spans="1:1" x14ac:dyDescent="0.25">
      <c r="A817" t="s">
        <v>2669</v>
      </c>
    </row>
    <row r="818" spans="1:1" x14ac:dyDescent="0.25">
      <c r="A818" t="s">
        <v>3159</v>
      </c>
    </row>
    <row r="819" spans="1:1" x14ac:dyDescent="0.25">
      <c r="A819" t="s">
        <v>2882</v>
      </c>
    </row>
    <row r="820" spans="1:1" x14ac:dyDescent="0.25">
      <c r="A820" t="s">
        <v>2883</v>
      </c>
    </row>
    <row r="821" spans="1:1" x14ac:dyDescent="0.25">
      <c r="A821" t="s">
        <v>2884</v>
      </c>
    </row>
    <row r="822" spans="1:1" x14ac:dyDescent="0.25">
      <c r="A822" t="s">
        <v>3160</v>
      </c>
    </row>
    <row r="823" spans="1:1" x14ac:dyDescent="0.25">
      <c r="A823" t="s">
        <v>3161</v>
      </c>
    </row>
    <row r="824" spans="1:1" x14ac:dyDescent="0.25">
      <c r="A824" t="s">
        <v>2674</v>
      </c>
    </row>
    <row r="825" spans="1:1" x14ac:dyDescent="0.25">
      <c r="A825" t="s">
        <v>2675</v>
      </c>
    </row>
    <row r="826" spans="1:1" x14ac:dyDescent="0.25">
      <c r="A826" t="s">
        <v>2769</v>
      </c>
    </row>
    <row r="827" spans="1:1" x14ac:dyDescent="0.25">
      <c r="A827" t="s">
        <v>3163</v>
      </c>
    </row>
    <row r="828" spans="1:1" x14ac:dyDescent="0.25">
      <c r="A828" t="s">
        <v>3154</v>
      </c>
    </row>
    <row r="829" spans="1:1" x14ac:dyDescent="0.25">
      <c r="A829" t="s">
        <v>3155</v>
      </c>
    </row>
    <row r="830" spans="1:1" x14ac:dyDescent="0.25">
      <c r="A830" t="s">
        <v>3156</v>
      </c>
    </row>
    <row r="831" spans="1:1" x14ac:dyDescent="0.25">
      <c r="A831" t="s">
        <v>3157</v>
      </c>
    </row>
    <row r="832" spans="1:1" x14ac:dyDescent="0.25">
      <c r="A832" t="s">
        <v>3158</v>
      </c>
    </row>
    <row r="833" spans="1:1" x14ac:dyDescent="0.25">
      <c r="A833" t="s">
        <v>2669</v>
      </c>
    </row>
    <row r="834" spans="1:1" x14ac:dyDescent="0.25">
      <c r="A834" t="s">
        <v>3159</v>
      </c>
    </row>
    <row r="835" spans="1:1" x14ac:dyDescent="0.25">
      <c r="A835" t="s">
        <v>2882</v>
      </c>
    </row>
    <row r="836" spans="1:1" x14ac:dyDescent="0.25">
      <c r="A836" t="s">
        <v>2883</v>
      </c>
    </row>
    <row r="837" spans="1:1" x14ac:dyDescent="0.25">
      <c r="A837" t="s">
        <v>2884</v>
      </c>
    </row>
    <row r="838" spans="1:1" x14ac:dyDescent="0.25">
      <c r="A838" t="s">
        <v>3160</v>
      </c>
    </row>
    <row r="839" spans="1:1" x14ac:dyDescent="0.25">
      <c r="A839" t="s">
        <v>3161</v>
      </c>
    </row>
    <row r="840" spans="1:1" x14ac:dyDescent="0.25">
      <c r="A840" t="s">
        <v>2674</v>
      </c>
    </row>
    <row r="841" spans="1:1" x14ac:dyDescent="0.25">
      <c r="A841" t="s">
        <v>2675</v>
      </c>
    </row>
    <row r="842" spans="1:1" x14ac:dyDescent="0.25">
      <c r="A842" t="s">
        <v>2769</v>
      </c>
    </row>
    <row r="843" spans="1:1" x14ac:dyDescent="0.25">
      <c r="A843" t="s">
        <v>3164</v>
      </c>
    </row>
    <row r="844" spans="1:1" x14ac:dyDescent="0.25">
      <c r="A844" t="s">
        <v>3154</v>
      </c>
    </row>
    <row r="845" spans="1:1" x14ac:dyDescent="0.25">
      <c r="A845" t="s">
        <v>3155</v>
      </c>
    </row>
    <row r="846" spans="1:1" x14ac:dyDescent="0.25">
      <c r="A846" t="s">
        <v>3156</v>
      </c>
    </row>
    <row r="847" spans="1:1" x14ac:dyDescent="0.25">
      <c r="A847" t="s">
        <v>3157</v>
      </c>
    </row>
    <row r="848" spans="1:1" x14ac:dyDescent="0.25">
      <c r="A848" t="s">
        <v>3158</v>
      </c>
    </row>
    <row r="849" spans="1:1" x14ac:dyDescent="0.25">
      <c r="A849" t="s">
        <v>2669</v>
      </c>
    </row>
    <row r="850" spans="1:1" x14ac:dyDescent="0.25">
      <c r="A850" t="s">
        <v>3159</v>
      </c>
    </row>
    <row r="851" spans="1:1" x14ac:dyDescent="0.25">
      <c r="A851" t="s">
        <v>2882</v>
      </c>
    </row>
    <row r="852" spans="1:1" x14ac:dyDescent="0.25">
      <c r="A852" t="s">
        <v>2883</v>
      </c>
    </row>
    <row r="853" spans="1:1" x14ac:dyDescent="0.25">
      <c r="A853" t="s">
        <v>2884</v>
      </c>
    </row>
    <row r="854" spans="1:1" x14ac:dyDescent="0.25">
      <c r="A854" t="s">
        <v>3160</v>
      </c>
    </row>
    <row r="855" spans="1:1" x14ac:dyDescent="0.25">
      <c r="A855" t="s">
        <v>3161</v>
      </c>
    </row>
    <row r="856" spans="1:1" x14ac:dyDescent="0.25">
      <c r="A856" t="s">
        <v>2674</v>
      </c>
    </row>
    <row r="857" spans="1:1" x14ac:dyDescent="0.25">
      <c r="A857" t="s">
        <v>2675</v>
      </c>
    </row>
    <row r="858" spans="1:1" x14ac:dyDescent="0.25">
      <c r="A858" t="s">
        <v>2769</v>
      </c>
    </row>
    <row r="859" spans="1:1" x14ac:dyDescent="0.25">
      <c r="A859" t="s">
        <v>3165</v>
      </c>
    </row>
    <row r="860" spans="1:1" x14ac:dyDescent="0.25">
      <c r="A860" t="s">
        <v>3154</v>
      </c>
    </row>
    <row r="861" spans="1:1" x14ac:dyDescent="0.25">
      <c r="A861" t="s">
        <v>3155</v>
      </c>
    </row>
    <row r="862" spans="1:1" x14ac:dyDescent="0.25">
      <c r="A862" t="s">
        <v>3156</v>
      </c>
    </row>
    <row r="863" spans="1:1" x14ac:dyDescent="0.25">
      <c r="A863" t="s">
        <v>3157</v>
      </c>
    </row>
    <row r="864" spans="1:1" x14ac:dyDescent="0.25">
      <c r="A864" t="s">
        <v>3158</v>
      </c>
    </row>
    <row r="865" spans="1:1" x14ac:dyDescent="0.25">
      <c r="A865" t="s">
        <v>2669</v>
      </c>
    </row>
    <row r="866" spans="1:1" x14ac:dyDescent="0.25">
      <c r="A866" t="s">
        <v>3159</v>
      </c>
    </row>
    <row r="867" spans="1:1" x14ac:dyDescent="0.25">
      <c r="A867" t="s">
        <v>2882</v>
      </c>
    </row>
    <row r="868" spans="1:1" x14ac:dyDescent="0.25">
      <c r="A868" t="s">
        <v>2883</v>
      </c>
    </row>
    <row r="869" spans="1:1" x14ac:dyDescent="0.25">
      <c r="A869" t="s">
        <v>2884</v>
      </c>
    </row>
    <row r="870" spans="1:1" x14ac:dyDescent="0.25">
      <c r="A870" t="s">
        <v>3160</v>
      </c>
    </row>
    <row r="871" spans="1:1" x14ac:dyDescent="0.25">
      <c r="A871" t="s">
        <v>3161</v>
      </c>
    </row>
    <row r="872" spans="1:1" x14ac:dyDescent="0.25">
      <c r="A872" t="s">
        <v>2674</v>
      </c>
    </row>
    <row r="873" spans="1:1" x14ac:dyDescent="0.25">
      <c r="A873" t="s">
        <v>2675</v>
      </c>
    </row>
    <row r="874" spans="1:1" x14ac:dyDescent="0.25">
      <c r="A874" t="s">
        <v>2769</v>
      </c>
    </row>
    <row r="875" spans="1:1" x14ac:dyDescent="0.25">
      <c r="A875" t="s">
        <v>3166</v>
      </c>
    </row>
    <row r="876" spans="1:1" x14ac:dyDescent="0.25">
      <c r="A876" t="s">
        <v>3167</v>
      </c>
    </row>
    <row r="877" spans="1:1" x14ac:dyDescent="0.25">
      <c r="A877" t="s">
        <v>3168</v>
      </c>
    </row>
    <row r="878" spans="1:1" x14ac:dyDescent="0.25">
      <c r="A878" t="s">
        <v>3169</v>
      </c>
    </row>
    <row r="879" spans="1:1" x14ac:dyDescent="0.25">
      <c r="A879" t="s">
        <v>3170</v>
      </c>
    </row>
    <row r="880" spans="1:1" x14ac:dyDescent="0.25">
      <c r="A880" t="s">
        <v>3171</v>
      </c>
    </row>
    <row r="881" spans="1:3" x14ac:dyDescent="0.25">
      <c r="A881" t="s">
        <v>3172</v>
      </c>
    </row>
    <row r="882" spans="1:3" x14ac:dyDescent="0.25">
      <c r="A882" t="s">
        <v>3173</v>
      </c>
    </row>
    <row r="883" spans="1:3" x14ac:dyDescent="0.25">
      <c r="A883" t="s">
        <v>3174</v>
      </c>
    </row>
    <row r="884" spans="1:3" x14ac:dyDescent="0.25">
      <c r="A884" t="s">
        <v>3175</v>
      </c>
    </row>
    <row r="885" spans="1:3" x14ac:dyDescent="0.25">
      <c r="A885" t="s">
        <v>3176</v>
      </c>
    </row>
    <row r="886" spans="1:3" x14ac:dyDescent="0.25">
      <c r="A886" t="s">
        <v>3177</v>
      </c>
    </row>
    <row r="887" spans="1:3" x14ac:dyDescent="0.25">
      <c r="A887" t="s">
        <v>2740</v>
      </c>
    </row>
    <row r="888" spans="1:3" x14ac:dyDescent="0.25">
      <c r="A888" t="s">
        <v>3178</v>
      </c>
    </row>
    <row r="889" spans="1:3" x14ac:dyDescent="0.25">
      <c r="A889" t="s">
        <v>3179</v>
      </c>
    </row>
    <row r="890" spans="1:3" x14ac:dyDescent="0.25">
      <c r="A890" t="s">
        <v>2910</v>
      </c>
    </row>
    <row r="891" spans="1:3" x14ac:dyDescent="0.25">
      <c r="A891" t="s">
        <v>3180</v>
      </c>
      <c r="B891" t="s">
        <v>3340</v>
      </c>
      <c r="C891" t="s">
        <v>3342</v>
      </c>
    </row>
    <row r="892" spans="1:3" x14ac:dyDescent="0.25">
      <c r="A892" t="s">
        <v>3181</v>
      </c>
      <c r="B892" t="s">
        <v>3341</v>
      </c>
      <c r="C892" t="s">
        <v>3342</v>
      </c>
    </row>
    <row r="893" spans="1:3" x14ac:dyDescent="0.25">
      <c r="A893" t="s">
        <v>3182</v>
      </c>
    </row>
    <row r="894" spans="1:3" x14ac:dyDescent="0.25">
      <c r="A894" t="s">
        <v>3183</v>
      </c>
    </row>
    <row r="895" spans="1:3" x14ac:dyDescent="0.25">
      <c r="A895" t="s">
        <v>3184</v>
      </c>
    </row>
    <row r="896" spans="1:3" x14ac:dyDescent="0.25">
      <c r="A896" t="s">
        <v>3185</v>
      </c>
    </row>
    <row r="897" spans="1:1" x14ac:dyDescent="0.25">
      <c r="A897" t="s">
        <v>3186</v>
      </c>
    </row>
    <row r="898" spans="1:1" x14ac:dyDescent="0.25">
      <c r="A898" t="s">
        <v>2769</v>
      </c>
    </row>
    <row r="899" spans="1:1" x14ac:dyDescent="0.25">
      <c r="A899" t="s">
        <v>3187</v>
      </c>
    </row>
    <row r="900" spans="1:1" x14ac:dyDescent="0.25">
      <c r="A900" t="s">
        <v>3188</v>
      </c>
    </row>
    <row r="901" spans="1:1" x14ac:dyDescent="0.25">
      <c r="A901" t="s">
        <v>3189</v>
      </c>
    </row>
    <row r="902" spans="1:1" x14ac:dyDescent="0.25">
      <c r="A902" t="s">
        <v>3190</v>
      </c>
    </row>
    <row r="903" spans="1:1" x14ac:dyDescent="0.25">
      <c r="A903" t="s">
        <v>3191</v>
      </c>
    </row>
    <row r="904" spans="1:1" x14ac:dyDescent="0.25">
      <c r="A904" t="s">
        <v>3192</v>
      </c>
    </row>
    <row r="905" spans="1:1" x14ac:dyDescent="0.25">
      <c r="A905" t="s">
        <v>3193</v>
      </c>
    </row>
    <row r="906" spans="1:1" x14ac:dyDescent="0.25">
      <c r="A906" t="s">
        <v>3194</v>
      </c>
    </row>
    <row r="907" spans="1:1" x14ac:dyDescent="0.25">
      <c r="A907" t="s">
        <v>2669</v>
      </c>
    </row>
    <row r="908" spans="1:1" x14ac:dyDescent="0.25">
      <c r="A908" t="s">
        <v>3195</v>
      </c>
    </row>
    <row r="909" spans="1:1" x14ac:dyDescent="0.25">
      <c r="A909" t="s">
        <v>2882</v>
      </c>
    </row>
    <row r="910" spans="1:1" x14ac:dyDescent="0.25">
      <c r="A910" t="s">
        <v>3196</v>
      </c>
    </row>
    <row r="911" spans="1:1" x14ac:dyDescent="0.25">
      <c r="A911" t="s">
        <v>3197</v>
      </c>
    </row>
    <row r="912" spans="1:1" x14ac:dyDescent="0.25">
      <c r="A912" t="s">
        <v>3160</v>
      </c>
    </row>
    <row r="913" spans="1:1" x14ac:dyDescent="0.25">
      <c r="A913" t="s">
        <v>3198</v>
      </c>
    </row>
    <row r="914" spans="1:1" x14ac:dyDescent="0.25">
      <c r="A914" t="s">
        <v>2674</v>
      </c>
    </row>
    <row r="915" spans="1:1" x14ac:dyDescent="0.25">
      <c r="A915" t="s">
        <v>2675</v>
      </c>
    </row>
    <row r="916" spans="1:1" x14ac:dyDescent="0.25">
      <c r="A916" t="s">
        <v>2769</v>
      </c>
    </row>
    <row r="917" spans="1:1" x14ac:dyDescent="0.25">
      <c r="A917" t="s">
        <v>3199</v>
      </c>
    </row>
    <row r="918" spans="1:1" x14ac:dyDescent="0.25">
      <c r="A918" t="s">
        <v>3200</v>
      </c>
    </row>
    <row r="919" spans="1:1" x14ac:dyDescent="0.25">
      <c r="A919" t="s">
        <v>3201</v>
      </c>
    </row>
    <row r="920" spans="1:1" x14ac:dyDescent="0.25">
      <c r="A920" t="s">
        <v>2740</v>
      </c>
    </row>
    <row r="921" spans="1:1" x14ac:dyDescent="0.25">
      <c r="A921" t="s">
        <v>3202</v>
      </c>
    </row>
    <row r="922" spans="1:1" x14ac:dyDescent="0.25">
      <c r="A922" t="s">
        <v>3203</v>
      </c>
    </row>
    <row r="923" spans="1:1" x14ac:dyDescent="0.25">
      <c r="A923" t="s">
        <v>3204</v>
      </c>
    </row>
    <row r="924" spans="1:1" x14ac:dyDescent="0.25">
      <c r="A924" t="s">
        <v>3205</v>
      </c>
    </row>
    <row r="925" spans="1:1" x14ac:dyDescent="0.25">
      <c r="A925" t="s">
        <v>3206</v>
      </c>
    </row>
    <row r="926" spans="1:1" x14ac:dyDescent="0.25">
      <c r="A926" t="s">
        <v>3207</v>
      </c>
    </row>
    <row r="927" spans="1:1" x14ac:dyDescent="0.25">
      <c r="A927" t="s">
        <v>3208</v>
      </c>
    </row>
    <row r="928" spans="1:1" x14ac:dyDescent="0.25">
      <c r="A928" t="s">
        <v>3209</v>
      </c>
    </row>
    <row r="929" spans="1:2" x14ac:dyDescent="0.25">
      <c r="A929" t="s">
        <v>3210</v>
      </c>
    </row>
    <row r="930" spans="1:2" x14ac:dyDescent="0.25">
      <c r="A930" t="s">
        <v>3211</v>
      </c>
      <c r="B930" t="s">
        <v>3343</v>
      </c>
    </row>
    <row r="931" spans="1:2" x14ac:dyDescent="0.25">
      <c r="A931" t="s">
        <v>3212</v>
      </c>
    </row>
    <row r="932" spans="1:2" x14ac:dyDescent="0.25">
      <c r="A932" t="s">
        <v>3213</v>
      </c>
    </row>
    <row r="933" spans="1:2" x14ac:dyDescent="0.25">
      <c r="A933" t="s">
        <v>3214</v>
      </c>
    </row>
    <row r="934" spans="1:2" x14ac:dyDescent="0.25">
      <c r="A934" t="s">
        <v>3215</v>
      </c>
    </row>
    <row r="935" spans="1:2" x14ac:dyDescent="0.25">
      <c r="A935" t="s">
        <v>3216</v>
      </c>
    </row>
    <row r="936" spans="1:2" x14ac:dyDescent="0.25">
      <c r="A936" t="s">
        <v>3217</v>
      </c>
    </row>
    <row r="937" spans="1:2" x14ac:dyDescent="0.25">
      <c r="A937" t="s">
        <v>3218</v>
      </c>
    </row>
    <row r="938" spans="1:2" x14ac:dyDescent="0.25">
      <c r="A938" t="s">
        <v>3219</v>
      </c>
    </row>
    <row r="939" spans="1:2" x14ac:dyDescent="0.25">
      <c r="A939" t="s">
        <v>3220</v>
      </c>
    </row>
    <row r="940" spans="1:2" x14ac:dyDescent="0.25">
      <c r="A940" t="s">
        <v>2786</v>
      </c>
    </row>
    <row r="941" spans="1:2" x14ac:dyDescent="0.25">
      <c r="A941" t="s">
        <v>3221</v>
      </c>
    </row>
    <row r="942" spans="1:2" x14ac:dyDescent="0.25">
      <c r="A942" t="s">
        <v>2769</v>
      </c>
    </row>
    <row r="943" spans="1:2" x14ac:dyDescent="0.25">
      <c r="A943" t="s">
        <v>3222</v>
      </c>
    </row>
    <row r="944" spans="1:2" x14ac:dyDescent="0.25">
      <c r="A944" t="s">
        <v>3215</v>
      </c>
    </row>
    <row r="945" spans="1:3" x14ac:dyDescent="0.25">
      <c r="A945" t="s">
        <v>3216</v>
      </c>
      <c r="B945" t="s">
        <v>3344</v>
      </c>
      <c r="C945" t="s">
        <v>3304</v>
      </c>
    </row>
    <row r="946" spans="1:3" x14ac:dyDescent="0.25">
      <c r="A946" t="s">
        <v>3217</v>
      </c>
    </row>
    <row r="947" spans="1:3" x14ac:dyDescent="0.25">
      <c r="A947" t="s">
        <v>3218</v>
      </c>
    </row>
    <row r="948" spans="1:3" x14ac:dyDescent="0.25">
      <c r="A948" t="s">
        <v>3219</v>
      </c>
    </row>
    <row r="949" spans="1:3" x14ac:dyDescent="0.25">
      <c r="A949" t="s">
        <v>3220</v>
      </c>
    </row>
    <row r="950" spans="1:3" x14ac:dyDescent="0.25">
      <c r="A950" t="s">
        <v>3223</v>
      </c>
    </row>
    <row r="951" spans="1:3" x14ac:dyDescent="0.25">
      <c r="A951" t="s">
        <v>2669</v>
      </c>
    </row>
    <row r="952" spans="1:3" x14ac:dyDescent="0.25">
      <c r="A952" t="s">
        <v>3224</v>
      </c>
    </row>
    <row r="953" spans="1:3" x14ac:dyDescent="0.25">
      <c r="A953" t="s">
        <v>2882</v>
      </c>
    </row>
    <row r="954" spans="1:3" x14ac:dyDescent="0.25">
      <c r="A954" t="s">
        <v>3225</v>
      </c>
    </row>
    <row r="955" spans="1:3" x14ac:dyDescent="0.25">
      <c r="A955" t="s">
        <v>3161</v>
      </c>
    </row>
    <row r="956" spans="1:3" x14ac:dyDescent="0.25">
      <c r="A956" t="s">
        <v>2674</v>
      </c>
    </row>
    <row r="957" spans="1:3" x14ac:dyDescent="0.25">
      <c r="A957" t="s">
        <v>3226</v>
      </c>
    </row>
    <row r="958" spans="1:3" x14ac:dyDescent="0.25">
      <c r="A958" t="s">
        <v>3227</v>
      </c>
    </row>
    <row r="959" spans="1:3" x14ac:dyDescent="0.25">
      <c r="A959" t="s">
        <v>2769</v>
      </c>
    </row>
    <row r="960" spans="1:3" x14ac:dyDescent="0.25">
      <c r="A960" t="s">
        <v>3228</v>
      </c>
    </row>
    <row r="961" spans="1:1" x14ac:dyDescent="0.25">
      <c r="A961" t="s">
        <v>3215</v>
      </c>
    </row>
    <row r="962" spans="1:1" x14ac:dyDescent="0.25">
      <c r="A962" t="s">
        <v>3216</v>
      </c>
    </row>
    <row r="963" spans="1:1" x14ac:dyDescent="0.25">
      <c r="A963" t="s">
        <v>3217</v>
      </c>
    </row>
    <row r="964" spans="1:1" x14ac:dyDescent="0.25">
      <c r="A964" t="s">
        <v>3218</v>
      </c>
    </row>
    <row r="965" spans="1:1" x14ac:dyDescent="0.25">
      <c r="A965" t="s">
        <v>3229</v>
      </c>
    </row>
    <row r="966" spans="1:1" x14ac:dyDescent="0.25">
      <c r="A966" t="s">
        <v>3230</v>
      </c>
    </row>
    <row r="967" spans="1:1" x14ac:dyDescent="0.25">
      <c r="A967" t="s">
        <v>3219</v>
      </c>
    </row>
    <row r="968" spans="1:1" x14ac:dyDescent="0.25">
      <c r="A968" t="s">
        <v>3220</v>
      </c>
    </row>
    <row r="969" spans="1:1" x14ac:dyDescent="0.25">
      <c r="A969" t="s">
        <v>3223</v>
      </c>
    </row>
    <row r="970" spans="1:1" x14ac:dyDescent="0.25">
      <c r="A970" t="s">
        <v>2669</v>
      </c>
    </row>
    <row r="971" spans="1:1" x14ac:dyDescent="0.25">
      <c r="A971" t="s">
        <v>3224</v>
      </c>
    </row>
    <row r="972" spans="1:1" x14ac:dyDescent="0.25">
      <c r="A972" t="s">
        <v>2882</v>
      </c>
    </row>
    <row r="973" spans="1:1" x14ac:dyDescent="0.25">
      <c r="A973" t="s">
        <v>3225</v>
      </c>
    </row>
    <row r="974" spans="1:1" x14ac:dyDescent="0.25">
      <c r="A974" t="s">
        <v>3161</v>
      </c>
    </row>
    <row r="975" spans="1:1" x14ac:dyDescent="0.25">
      <c r="A975" t="s">
        <v>2674</v>
      </c>
    </row>
    <row r="976" spans="1:1" x14ac:dyDescent="0.25">
      <c r="A976" t="s">
        <v>3226</v>
      </c>
    </row>
    <row r="977" spans="1:1" x14ac:dyDescent="0.25">
      <c r="A977" t="s">
        <v>3227</v>
      </c>
    </row>
    <row r="978" spans="1:1" x14ac:dyDescent="0.25">
      <c r="A978" t="s">
        <v>2769</v>
      </c>
    </row>
    <row r="979" spans="1:1" x14ac:dyDescent="0.25">
      <c r="A979" t="s">
        <v>3231</v>
      </c>
    </row>
    <row r="980" spans="1:1" x14ac:dyDescent="0.25">
      <c r="A980" t="s">
        <v>3232</v>
      </c>
    </row>
    <row r="981" spans="1:1" x14ac:dyDescent="0.25">
      <c r="A981" t="s">
        <v>3233</v>
      </c>
    </row>
    <row r="982" spans="1:1" x14ac:dyDescent="0.25">
      <c r="A982" t="s">
        <v>3234</v>
      </c>
    </row>
    <row r="983" spans="1:1" x14ac:dyDescent="0.25">
      <c r="A983" t="s">
        <v>3235</v>
      </c>
    </row>
    <row r="984" spans="1:1" x14ac:dyDescent="0.25">
      <c r="A984" t="s">
        <v>3236</v>
      </c>
    </row>
    <row r="985" spans="1:1" x14ac:dyDescent="0.25">
      <c r="A985" t="s">
        <v>3237</v>
      </c>
    </row>
    <row r="986" spans="1:1" x14ac:dyDescent="0.25">
      <c r="A986" t="s">
        <v>3238</v>
      </c>
    </row>
    <row r="987" spans="1:1" x14ac:dyDescent="0.25">
      <c r="A987" t="s">
        <v>2740</v>
      </c>
    </row>
    <row r="988" spans="1:1" x14ac:dyDescent="0.25">
      <c r="A988" t="s">
        <v>3239</v>
      </c>
    </row>
    <row r="989" spans="1:1" x14ac:dyDescent="0.25">
      <c r="A989" t="s">
        <v>2655</v>
      </c>
    </row>
    <row r="990" spans="1:1" x14ac:dyDescent="0.25">
      <c r="A990" t="s">
        <v>3240</v>
      </c>
    </row>
    <row r="991" spans="1:1" x14ac:dyDescent="0.25">
      <c r="A991" t="s">
        <v>3241</v>
      </c>
    </row>
    <row r="992" spans="1:1" x14ac:dyDescent="0.25">
      <c r="A992" t="s">
        <v>3242</v>
      </c>
    </row>
    <row r="993" spans="1:1" x14ac:dyDescent="0.25">
      <c r="A993" t="s">
        <v>3209</v>
      </c>
    </row>
    <row r="994" spans="1:1" x14ac:dyDescent="0.25">
      <c r="A994" t="s">
        <v>3243</v>
      </c>
    </row>
    <row r="995" spans="1:1" x14ac:dyDescent="0.25">
      <c r="A995" t="s">
        <v>3244</v>
      </c>
    </row>
    <row r="996" spans="1:1" x14ac:dyDescent="0.25">
      <c r="A996" t="s">
        <v>3245</v>
      </c>
    </row>
    <row r="997" spans="1:1" x14ac:dyDescent="0.25">
      <c r="A997" t="s">
        <v>3246</v>
      </c>
    </row>
    <row r="998" spans="1:1" x14ac:dyDescent="0.25">
      <c r="A998" t="s">
        <v>3247</v>
      </c>
    </row>
    <row r="999" spans="1:1" x14ac:dyDescent="0.25">
      <c r="A999" t="s">
        <v>2655</v>
      </c>
    </row>
    <row r="1000" spans="1:1" x14ac:dyDescent="0.25">
      <c r="A1000" t="s">
        <v>3248</v>
      </c>
    </row>
    <row r="1001" spans="1:1" x14ac:dyDescent="0.25">
      <c r="A1001" t="s">
        <v>3249</v>
      </c>
    </row>
    <row r="1002" spans="1:1" x14ac:dyDescent="0.25">
      <c r="A1002" t="s">
        <v>2647</v>
      </c>
    </row>
    <row r="1003" spans="1:1" x14ac:dyDescent="0.25">
      <c r="A1003" t="s">
        <v>3250</v>
      </c>
    </row>
    <row r="1004" spans="1:1" x14ac:dyDescent="0.25">
      <c r="A1004" t="s">
        <v>2659</v>
      </c>
    </row>
    <row r="1005" spans="1:1" x14ac:dyDescent="0.25">
      <c r="A1005" t="s">
        <v>2660</v>
      </c>
    </row>
    <row r="1006" spans="1:1" x14ac:dyDescent="0.25">
      <c r="A1006" t="s">
        <v>3251</v>
      </c>
    </row>
    <row r="1007" spans="1:1" x14ac:dyDescent="0.25">
      <c r="A1007" t="s">
        <v>2649</v>
      </c>
    </row>
    <row r="1008" spans="1:1" x14ac:dyDescent="0.25">
      <c r="A1008" t="s">
        <v>2650</v>
      </c>
    </row>
    <row r="1009" spans="1:1" x14ac:dyDescent="0.25">
      <c r="A1009" t="s">
        <v>3252</v>
      </c>
    </row>
    <row r="1010" spans="1:1" x14ac:dyDescent="0.25">
      <c r="A1010" t="s">
        <v>3253</v>
      </c>
    </row>
    <row r="1011" spans="1:1" x14ac:dyDescent="0.25">
      <c r="A1011" t="s">
        <v>3254</v>
      </c>
    </row>
    <row r="1012" spans="1:1" x14ac:dyDescent="0.25">
      <c r="A1012" t="s">
        <v>3255</v>
      </c>
    </row>
    <row r="1013" spans="1:1" x14ac:dyDescent="0.25">
      <c r="A1013" t="s">
        <v>3256</v>
      </c>
    </row>
    <row r="1014" spans="1:1" x14ac:dyDescent="0.25">
      <c r="A1014" t="s">
        <v>3202</v>
      </c>
    </row>
    <row r="1015" spans="1:1" x14ac:dyDescent="0.25">
      <c r="A1015" t="s">
        <v>3203</v>
      </c>
    </row>
    <row r="1016" spans="1:1" x14ac:dyDescent="0.25">
      <c r="A1016" t="s">
        <v>3257</v>
      </c>
    </row>
    <row r="1017" spans="1:1" x14ac:dyDescent="0.25">
      <c r="A1017" t="s">
        <v>3207</v>
      </c>
    </row>
    <row r="1018" spans="1:1" x14ac:dyDescent="0.25">
      <c r="A1018" t="s">
        <v>3258</v>
      </c>
    </row>
    <row r="1019" spans="1:1" x14ac:dyDescent="0.25">
      <c r="A1019" t="s">
        <v>3205</v>
      </c>
    </row>
    <row r="1020" spans="1:1" x14ac:dyDescent="0.25">
      <c r="A1020" t="s">
        <v>3208</v>
      </c>
    </row>
    <row r="1021" spans="1:1" x14ac:dyDescent="0.25">
      <c r="A1021" t="s">
        <v>3259</v>
      </c>
    </row>
    <row r="1022" spans="1:1" x14ac:dyDescent="0.25">
      <c r="A1022" t="s">
        <v>3260</v>
      </c>
    </row>
    <row r="1023" spans="1:1" x14ac:dyDescent="0.25">
      <c r="A1023" t="s">
        <v>3261</v>
      </c>
    </row>
    <row r="1024" spans="1:1" x14ac:dyDescent="0.25">
      <c r="A1024" t="s">
        <v>3262</v>
      </c>
    </row>
    <row r="1025" spans="1:3" x14ac:dyDescent="0.25">
      <c r="A1025" t="s">
        <v>2655</v>
      </c>
    </row>
    <row r="1026" spans="1:3" x14ac:dyDescent="0.25">
      <c r="A1026" t="s">
        <v>3263</v>
      </c>
      <c r="B1026" t="s">
        <v>3345</v>
      </c>
      <c r="C1026" t="s">
        <v>3304</v>
      </c>
    </row>
    <row r="1027" spans="1:3" x14ac:dyDescent="0.25">
      <c r="A1027" t="s">
        <v>3264</v>
      </c>
    </row>
    <row r="1028" spans="1:3" x14ac:dyDescent="0.25">
      <c r="A1028" t="s">
        <v>2647</v>
      </c>
    </row>
    <row r="1029" spans="1:3" x14ac:dyDescent="0.25">
      <c r="A1029" t="s">
        <v>3265</v>
      </c>
    </row>
    <row r="1030" spans="1:3" x14ac:dyDescent="0.25">
      <c r="A1030" t="s">
        <v>3266</v>
      </c>
    </row>
    <row r="1031" spans="1:3" x14ac:dyDescent="0.25">
      <c r="A1031" t="s">
        <v>3267</v>
      </c>
    </row>
    <row r="1032" spans="1:3" x14ac:dyDescent="0.25">
      <c r="A1032" t="s">
        <v>2659</v>
      </c>
      <c r="B1032" t="s">
        <v>3345</v>
      </c>
      <c r="C1032" t="s">
        <v>3304</v>
      </c>
    </row>
    <row r="1033" spans="1:3" x14ac:dyDescent="0.25">
      <c r="A1033" t="s">
        <v>3268</v>
      </c>
    </row>
    <row r="1034" spans="1:3" x14ac:dyDescent="0.25">
      <c r="A1034" t="s">
        <v>3269</v>
      </c>
      <c r="B1034" t="s">
        <v>3345</v>
      </c>
      <c r="C1034" t="s">
        <v>3304</v>
      </c>
    </row>
    <row r="1035" spans="1:3" x14ac:dyDescent="0.25">
      <c r="A1035" t="s">
        <v>3270</v>
      </c>
    </row>
    <row r="1036" spans="1:3" x14ac:dyDescent="0.25">
      <c r="A1036" t="s">
        <v>3271</v>
      </c>
    </row>
    <row r="1037" spans="1:3" x14ac:dyDescent="0.25">
      <c r="A1037" t="s">
        <v>3272</v>
      </c>
    </row>
    <row r="1038" spans="1:3" x14ac:dyDescent="0.25">
      <c r="A1038" t="s">
        <v>3273</v>
      </c>
      <c r="B1038" t="s">
        <v>3346</v>
      </c>
      <c r="C1038" t="s">
        <v>3304</v>
      </c>
    </row>
    <row r="1039" spans="1:3" x14ac:dyDescent="0.25">
      <c r="A1039" t="s">
        <v>3274</v>
      </c>
    </row>
    <row r="1040" spans="1:3" x14ac:dyDescent="0.25">
      <c r="A1040" t="s">
        <v>2649</v>
      </c>
    </row>
    <row r="1041" spans="1:3" x14ac:dyDescent="0.25">
      <c r="A1041" t="s">
        <v>2650</v>
      </c>
    </row>
    <row r="1042" spans="1:3" x14ac:dyDescent="0.25">
      <c r="A1042" t="s">
        <v>3275</v>
      </c>
      <c r="B1042" t="s">
        <v>3345</v>
      </c>
      <c r="C1042" t="s">
        <v>3304</v>
      </c>
    </row>
    <row r="1043" spans="1:3" x14ac:dyDescent="0.25">
      <c r="A1043" t="s">
        <v>2647</v>
      </c>
    </row>
    <row r="1044" spans="1:3" x14ac:dyDescent="0.25">
      <c r="A1044" t="s">
        <v>3276</v>
      </c>
    </row>
    <row r="1045" spans="1:3" x14ac:dyDescent="0.25">
      <c r="A1045" t="s">
        <v>2659</v>
      </c>
    </row>
    <row r="1046" spans="1:3" x14ac:dyDescent="0.25">
      <c r="A1046" t="s">
        <v>3271</v>
      </c>
    </row>
    <row r="1047" spans="1:3" x14ac:dyDescent="0.25">
      <c r="A1047" t="s">
        <v>3277</v>
      </c>
      <c r="B1047" t="s">
        <v>3347</v>
      </c>
      <c r="C1047" t="s">
        <v>3304</v>
      </c>
    </row>
    <row r="1048" spans="1:3" x14ac:dyDescent="0.25">
      <c r="A1048" t="s">
        <v>3274</v>
      </c>
      <c r="B1048" t="s">
        <v>3345</v>
      </c>
      <c r="C1048" t="s">
        <v>3304</v>
      </c>
    </row>
    <row r="1049" spans="1:3" x14ac:dyDescent="0.25">
      <c r="A1049" t="s">
        <v>2649</v>
      </c>
    </row>
    <row r="1050" spans="1:3" x14ac:dyDescent="0.25">
      <c r="A1050" t="s">
        <v>2650</v>
      </c>
    </row>
    <row r="1051" spans="1:3" x14ac:dyDescent="0.25">
      <c r="A1051" t="s">
        <v>3278</v>
      </c>
      <c r="B1051" t="s">
        <v>3345</v>
      </c>
      <c r="C1051" t="s">
        <v>3304</v>
      </c>
    </row>
    <row r="1052" spans="1:3" x14ac:dyDescent="0.25">
      <c r="A1052" t="s">
        <v>2647</v>
      </c>
    </row>
    <row r="1053" spans="1:3" x14ac:dyDescent="0.25">
      <c r="A1053" t="s">
        <v>3279</v>
      </c>
    </row>
    <row r="1054" spans="1:3" x14ac:dyDescent="0.25">
      <c r="A1054" t="s">
        <v>3280</v>
      </c>
    </row>
    <row r="1055" spans="1:3" x14ac:dyDescent="0.25">
      <c r="A1055" t="s">
        <v>3281</v>
      </c>
    </row>
    <row r="1056" spans="1:3" x14ac:dyDescent="0.25">
      <c r="A1056" t="s">
        <v>2659</v>
      </c>
    </row>
    <row r="1057" spans="1:3" x14ac:dyDescent="0.25">
      <c r="A1057" t="s">
        <v>3269</v>
      </c>
      <c r="B1057" t="s">
        <v>3345</v>
      </c>
      <c r="C1057" t="s">
        <v>3304</v>
      </c>
    </row>
    <row r="1058" spans="1:3" x14ac:dyDescent="0.25">
      <c r="A1058" t="s">
        <v>3268</v>
      </c>
    </row>
    <row r="1059" spans="1:3" x14ac:dyDescent="0.25">
      <c r="A1059" t="s">
        <v>3271</v>
      </c>
    </row>
    <row r="1060" spans="1:3" x14ac:dyDescent="0.25">
      <c r="A1060" t="s">
        <v>3277</v>
      </c>
      <c r="B1060" t="s">
        <v>3347</v>
      </c>
      <c r="C1060" t="s">
        <v>3304</v>
      </c>
    </row>
    <row r="1061" spans="1:3" x14ac:dyDescent="0.25">
      <c r="A1061" t="s">
        <v>3274</v>
      </c>
    </row>
    <row r="1062" spans="1:3" x14ac:dyDescent="0.25">
      <c r="A1062" t="s">
        <v>2649</v>
      </c>
    </row>
    <row r="1063" spans="1:3" x14ac:dyDescent="0.25">
      <c r="A1063" t="s">
        <v>2650</v>
      </c>
    </row>
    <row r="1064" spans="1:3" x14ac:dyDescent="0.25">
      <c r="A1064" t="s">
        <v>3282</v>
      </c>
      <c r="B1064" t="s">
        <v>3345</v>
      </c>
      <c r="C1064" t="s">
        <v>3304</v>
      </c>
    </row>
    <row r="1065" spans="1:3" x14ac:dyDescent="0.25">
      <c r="A1065" t="s">
        <v>2647</v>
      </c>
    </row>
    <row r="1066" spans="1:3" x14ac:dyDescent="0.25">
      <c r="A1066" t="s">
        <v>3283</v>
      </c>
    </row>
    <row r="1067" spans="1:3" x14ac:dyDescent="0.25">
      <c r="A1067" t="s">
        <v>2659</v>
      </c>
    </row>
    <row r="1068" spans="1:3" x14ac:dyDescent="0.25">
      <c r="A1068" t="s">
        <v>3271</v>
      </c>
    </row>
    <row r="1069" spans="1:3" x14ac:dyDescent="0.25">
      <c r="A1069" t="s">
        <v>3284</v>
      </c>
      <c r="B1069" t="s">
        <v>3347</v>
      </c>
      <c r="C1069" t="s">
        <v>3304</v>
      </c>
    </row>
    <row r="1070" spans="1:3" x14ac:dyDescent="0.25">
      <c r="A1070" t="s">
        <v>2649</v>
      </c>
    </row>
    <row r="1071" spans="1:3" x14ac:dyDescent="0.25">
      <c r="A1071" t="s">
        <v>2650</v>
      </c>
    </row>
    <row r="1072" spans="1:3" x14ac:dyDescent="0.25">
      <c r="A1072" t="s">
        <v>3285</v>
      </c>
    </row>
    <row r="1073" spans="1:3" x14ac:dyDescent="0.25">
      <c r="A1073" t="s">
        <v>2647</v>
      </c>
    </row>
    <row r="1074" spans="1:3" x14ac:dyDescent="0.25">
      <c r="A1074" t="s">
        <v>3286</v>
      </c>
    </row>
    <row r="1075" spans="1:3" x14ac:dyDescent="0.25">
      <c r="A1075" t="s">
        <v>3287</v>
      </c>
    </row>
    <row r="1076" spans="1:3" x14ac:dyDescent="0.25">
      <c r="A1076" t="s">
        <v>2659</v>
      </c>
    </row>
    <row r="1077" spans="1:3" x14ac:dyDescent="0.25">
      <c r="A1077" t="s">
        <v>3268</v>
      </c>
    </row>
    <row r="1078" spans="1:3" x14ac:dyDescent="0.25">
      <c r="A1078" t="s">
        <v>3288</v>
      </c>
      <c r="B1078" t="s">
        <v>3345</v>
      </c>
      <c r="C1078" t="s">
        <v>3304</v>
      </c>
    </row>
    <row r="1079" spans="1:3" x14ac:dyDescent="0.25">
      <c r="A1079" t="s">
        <v>2649</v>
      </c>
    </row>
    <row r="1080" spans="1:3" x14ac:dyDescent="0.25">
      <c r="A1080" t="s">
        <v>2684</v>
      </c>
    </row>
    <row r="1081" spans="1:3" x14ac:dyDescent="0.25">
      <c r="A1081" t="s">
        <v>3289</v>
      </c>
    </row>
    <row r="1082" spans="1:3" x14ac:dyDescent="0.25">
      <c r="A1082" t="s">
        <v>2639</v>
      </c>
    </row>
    <row r="1083" spans="1:3" x14ac:dyDescent="0.25">
      <c r="A1083" t="s">
        <v>3290</v>
      </c>
    </row>
    <row r="1084" spans="1:3" x14ac:dyDescent="0.25">
      <c r="A1084" t="s">
        <v>3291</v>
      </c>
    </row>
    <row r="1085" spans="1:3" x14ac:dyDescent="0.25">
      <c r="A1085" t="s">
        <v>2686</v>
      </c>
    </row>
    <row r="1086" spans="1:3" x14ac:dyDescent="0.25">
      <c r="A1086" t="s">
        <v>3292</v>
      </c>
    </row>
    <row r="1087" spans="1:3" x14ac:dyDescent="0.25">
      <c r="A1087" t="s">
        <v>3293</v>
      </c>
    </row>
    <row r="1088" spans="1:3" x14ac:dyDescent="0.25">
      <c r="A1088" t="s">
        <v>2692</v>
      </c>
    </row>
    <row r="1089" spans="1:1" x14ac:dyDescent="0.25">
      <c r="A1089" t="s">
        <v>2693</v>
      </c>
    </row>
    <row r="1090" spans="1:1" x14ac:dyDescent="0.25">
      <c r="A1090" t="s">
        <v>3294</v>
      </c>
    </row>
    <row r="1091" spans="1:1" x14ac:dyDescent="0.25">
      <c r="A1091" t="s">
        <v>2686</v>
      </c>
    </row>
    <row r="1092" spans="1:1" x14ac:dyDescent="0.25">
      <c r="A1092" t="s">
        <v>3295</v>
      </c>
    </row>
    <row r="1093" spans="1:1" x14ac:dyDescent="0.25">
      <c r="A1093" t="s">
        <v>3296</v>
      </c>
    </row>
    <row r="1094" spans="1:1" x14ac:dyDescent="0.25">
      <c r="A1094" t="s">
        <v>2692</v>
      </c>
    </row>
    <row r="1095" spans="1:1" x14ac:dyDescent="0.25">
      <c r="A1095" t="s">
        <v>2693</v>
      </c>
    </row>
    <row r="1096" spans="1:1" x14ac:dyDescent="0.25">
      <c r="A1096" t="s">
        <v>3297</v>
      </c>
    </row>
    <row r="1097" spans="1:1" x14ac:dyDescent="0.25">
      <c r="A1097" t="s">
        <v>2686</v>
      </c>
    </row>
    <row r="1098" spans="1:1" x14ac:dyDescent="0.25">
      <c r="A1098" t="s">
        <v>3298</v>
      </c>
    </row>
    <row r="1099" spans="1:1" x14ac:dyDescent="0.25">
      <c r="A1099" t="s">
        <v>3299</v>
      </c>
    </row>
    <row r="1100" spans="1:1" x14ac:dyDescent="0.25">
      <c r="A1100" t="s">
        <v>2692</v>
      </c>
    </row>
    <row r="1101" spans="1:1" x14ac:dyDescent="0.25">
      <c r="A1101" t="s">
        <v>2733</v>
      </c>
    </row>
    <row r="1102" spans="1:1" x14ac:dyDescent="0.25">
      <c r="A1102" t="s">
        <v>3300</v>
      </c>
    </row>
    <row r="1103" spans="1:1" x14ac:dyDescent="0.25">
      <c r="A1103" t="s">
        <v>3301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39F24-9B84-49DF-9E78-2C706A8D4BCB}">
  <sheetPr>
    <tabColor theme="1" tint="4.9989318521683403E-2"/>
  </sheetPr>
  <dimension ref="A1:O17"/>
  <sheetViews>
    <sheetView workbookViewId="0">
      <selection activeCell="E18" sqref="E18"/>
    </sheetView>
  </sheetViews>
  <sheetFormatPr defaultRowHeight="15" x14ac:dyDescent="0.25"/>
  <sheetData>
    <row r="1" spans="1:15" x14ac:dyDescent="0.25">
      <c r="A1" s="202" t="s">
        <v>1952</v>
      </c>
      <c r="B1" s="202"/>
      <c r="C1" s="202"/>
      <c r="D1" s="202"/>
      <c r="E1" s="202"/>
      <c r="F1" s="202"/>
      <c r="G1" s="202"/>
      <c r="H1" s="202"/>
      <c r="I1" s="202"/>
      <c r="J1" s="202"/>
      <c r="K1" s="202"/>
      <c r="L1" s="202"/>
      <c r="M1" s="202"/>
      <c r="N1" s="202"/>
      <c r="O1" s="202"/>
    </row>
    <row r="2" spans="1:15" x14ac:dyDescent="0.25">
      <c r="A2" s="202"/>
      <c r="B2" s="202"/>
      <c r="C2" s="202"/>
      <c r="D2" s="202"/>
      <c r="E2" s="202"/>
      <c r="F2" s="202"/>
      <c r="G2" s="202"/>
      <c r="H2" s="202"/>
      <c r="I2" s="202"/>
      <c r="J2" s="202"/>
      <c r="K2" s="202"/>
      <c r="L2" s="202"/>
      <c r="M2" s="202"/>
      <c r="N2" s="202"/>
      <c r="O2" s="202"/>
    </row>
    <row r="3" spans="1:15" x14ac:dyDescent="0.25">
      <c r="A3" s="202"/>
      <c r="B3" s="202"/>
      <c r="C3" s="202"/>
      <c r="D3" s="202"/>
      <c r="E3" s="202"/>
      <c r="F3" s="202"/>
      <c r="G3" s="202"/>
      <c r="H3" s="202"/>
      <c r="I3" s="202"/>
      <c r="J3" s="202"/>
      <c r="K3" s="202"/>
      <c r="L3" s="202"/>
      <c r="M3" s="202"/>
      <c r="N3" s="202"/>
      <c r="O3" s="202"/>
    </row>
    <row r="4" spans="1:15" x14ac:dyDescent="0.25">
      <c r="A4" s="202"/>
      <c r="B4" s="202"/>
      <c r="C4" s="202"/>
      <c r="D4" s="202"/>
      <c r="E4" s="202"/>
      <c r="F4" s="202"/>
      <c r="G4" s="202"/>
      <c r="H4" s="202"/>
      <c r="I4" s="202"/>
      <c r="J4" s="202"/>
      <c r="K4" s="202"/>
      <c r="L4" s="202"/>
      <c r="M4" s="202"/>
      <c r="N4" s="202"/>
      <c r="O4" s="202"/>
    </row>
    <row r="5" spans="1:15" x14ac:dyDescent="0.25">
      <c r="A5" s="202"/>
      <c r="B5" s="202"/>
      <c r="C5" s="202"/>
      <c r="D5" s="202"/>
      <c r="E5" s="202"/>
      <c r="F5" s="202"/>
      <c r="G5" s="202"/>
      <c r="H5" s="202"/>
      <c r="I5" s="202"/>
      <c r="J5" s="202"/>
      <c r="K5" s="202"/>
      <c r="L5" s="202"/>
      <c r="M5" s="202"/>
      <c r="N5" s="202"/>
      <c r="O5" s="202"/>
    </row>
    <row r="6" spans="1:15" x14ac:dyDescent="0.25">
      <c r="A6" s="202"/>
      <c r="B6" s="202"/>
      <c r="C6" s="202"/>
      <c r="D6" s="202"/>
      <c r="E6" s="202"/>
      <c r="F6" s="202"/>
      <c r="G6" s="202"/>
      <c r="H6" s="202"/>
      <c r="I6" s="202"/>
      <c r="J6" s="202"/>
      <c r="K6" s="202"/>
      <c r="L6" s="202"/>
      <c r="M6" s="202"/>
      <c r="N6" s="202"/>
      <c r="O6" s="202"/>
    </row>
    <row r="7" spans="1:15" x14ac:dyDescent="0.25">
      <c r="A7" s="202"/>
      <c r="B7" s="202"/>
      <c r="C7" s="202"/>
      <c r="D7" s="202"/>
      <c r="E7" s="202"/>
      <c r="F7" s="202"/>
      <c r="G7" s="202"/>
      <c r="H7" s="202"/>
      <c r="I7" s="202"/>
      <c r="J7" s="202"/>
      <c r="K7" s="202"/>
      <c r="L7" s="202"/>
      <c r="M7" s="202"/>
      <c r="N7" s="202"/>
      <c r="O7" s="202"/>
    </row>
    <row r="8" spans="1:15" x14ac:dyDescent="0.25">
      <c r="A8" s="202"/>
      <c r="B8" s="202"/>
      <c r="C8" s="202"/>
      <c r="D8" s="202"/>
      <c r="E8" s="202"/>
      <c r="F8" s="202"/>
      <c r="G8" s="202"/>
      <c r="H8" s="202"/>
      <c r="I8" s="202"/>
      <c r="J8" s="202"/>
      <c r="K8" s="202"/>
      <c r="L8" s="202"/>
      <c r="M8" s="202"/>
      <c r="N8" s="202"/>
      <c r="O8" s="202"/>
    </row>
    <row r="9" spans="1:15" x14ac:dyDescent="0.25">
      <c r="A9" s="202"/>
      <c r="B9" s="202"/>
      <c r="C9" s="202"/>
      <c r="D9" s="202"/>
      <c r="E9" s="202"/>
      <c r="F9" s="202"/>
      <c r="G9" s="202"/>
      <c r="H9" s="202"/>
      <c r="I9" s="202"/>
      <c r="J9" s="202"/>
      <c r="K9" s="202"/>
      <c r="L9" s="202"/>
      <c r="M9" s="202"/>
      <c r="N9" s="202"/>
      <c r="O9" s="202"/>
    </row>
    <row r="10" spans="1:15" x14ac:dyDescent="0.25">
      <c r="A10" s="202"/>
      <c r="B10" s="202"/>
      <c r="C10" s="202"/>
      <c r="D10" s="202"/>
      <c r="E10" s="202"/>
      <c r="F10" s="202"/>
      <c r="G10" s="202"/>
      <c r="H10" s="202"/>
      <c r="I10" s="202"/>
      <c r="J10" s="202"/>
      <c r="K10" s="202"/>
      <c r="L10" s="202"/>
      <c r="M10" s="202"/>
      <c r="N10" s="202"/>
      <c r="O10" s="202"/>
    </row>
    <row r="11" spans="1:15" x14ac:dyDescent="0.25">
      <c r="A11" s="202"/>
      <c r="B11" s="202"/>
      <c r="C11" s="202"/>
      <c r="D11" s="202"/>
      <c r="E11" s="202"/>
      <c r="F11" s="202"/>
      <c r="G11" s="202"/>
      <c r="H11" s="202"/>
      <c r="I11" s="202"/>
      <c r="J11" s="202"/>
      <c r="K11" s="202"/>
      <c r="L11" s="202"/>
      <c r="M11" s="202"/>
      <c r="N11" s="202"/>
      <c r="O11" s="202"/>
    </row>
    <row r="12" spans="1:15" x14ac:dyDescent="0.25">
      <c r="A12" s="202"/>
      <c r="B12" s="202"/>
      <c r="C12" s="202"/>
      <c r="D12" s="202"/>
      <c r="E12" s="202"/>
      <c r="F12" s="202"/>
      <c r="G12" s="202"/>
      <c r="H12" s="202"/>
      <c r="I12" s="202"/>
      <c r="J12" s="202"/>
      <c r="K12" s="202"/>
      <c r="L12" s="202"/>
      <c r="M12" s="202"/>
      <c r="N12" s="202"/>
      <c r="O12" s="202"/>
    </row>
    <row r="13" spans="1:15" x14ac:dyDescent="0.25">
      <c r="A13" s="202"/>
      <c r="B13" s="202"/>
      <c r="C13" s="202"/>
      <c r="D13" s="202"/>
      <c r="E13" s="202"/>
      <c r="F13" s="202"/>
      <c r="G13" s="202"/>
      <c r="H13" s="202"/>
      <c r="I13" s="202"/>
      <c r="J13" s="202"/>
      <c r="K13" s="202"/>
      <c r="L13" s="202"/>
      <c r="M13" s="202"/>
      <c r="N13" s="202"/>
      <c r="O13" s="202"/>
    </row>
    <row r="14" spans="1:15" x14ac:dyDescent="0.25">
      <c r="A14" s="202"/>
      <c r="B14" s="202"/>
      <c r="C14" s="202"/>
      <c r="D14" s="202"/>
      <c r="E14" s="202"/>
      <c r="F14" s="202"/>
      <c r="G14" s="202"/>
      <c r="H14" s="202"/>
      <c r="I14" s="202"/>
      <c r="J14" s="202"/>
      <c r="K14" s="202"/>
      <c r="L14" s="202"/>
      <c r="M14" s="202"/>
      <c r="N14" s="202"/>
      <c r="O14" s="202"/>
    </row>
    <row r="15" spans="1:15" x14ac:dyDescent="0.25">
      <c r="A15" s="202"/>
      <c r="B15" s="202"/>
      <c r="C15" s="202"/>
      <c r="D15" s="202"/>
      <c r="E15" s="202"/>
      <c r="F15" s="202"/>
      <c r="G15" s="202"/>
      <c r="H15" s="202"/>
      <c r="I15" s="202"/>
      <c r="J15" s="202"/>
      <c r="K15" s="202"/>
      <c r="L15" s="202"/>
      <c r="M15" s="202"/>
      <c r="N15" s="202"/>
      <c r="O15" s="202"/>
    </row>
    <row r="16" spans="1:15" x14ac:dyDescent="0.25">
      <c r="A16" s="202"/>
      <c r="B16" s="202"/>
      <c r="C16" s="202"/>
      <c r="D16" s="202"/>
      <c r="E16" s="202"/>
      <c r="F16" s="202"/>
      <c r="G16" s="202"/>
      <c r="H16" s="202"/>
      <c r="I16" s="202"/>
      <c r="J16" s="202"/>
      <c r="K16" s="202"/>
      <c r="L16" s="202"/>
      <c r="M16" s="202"/>
      <c r="N16" s="202"/>
      <c r="O16" s="202"/>
    </row>
    <row r="17" spans="1:15" x14ac:dyDescent="0.25">
      <c r="A17" s="202"/>
      <c r="B17" s="202"/>
      <c r="C17" s="202"/>
      <c r="D17" s="202"/>
      <c r="E17" s="202"/>
      <c r="F17" s="202"/>
      <c r="G17" s="202"/>
      <c r="H17" s="202"/>
      <c r="I17" s="202"/>
      <c r="J17" s="202"/>
      <c r="K17" s="202"/>
      <c r="L17" s="202"/>
      <c r="M17" s="202"/>
      <c r="N17" s="202"/>
      <c r="O17" s="202"/>
    </row>
  </sheetData>
  <mergeCells count="1">
    <mergeCell ref="A1:O17"/>
  </mergeCells>
  <pageMargins left="0.7" right="0.7"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B2682-3067-472D-A59A-42F53151ED01}">
  <dimension ref="A1:A26"/>
  <sheetViews>
    <sheetView workbookViewId="0">
      <selection activeCell="A16" sqref="A16:XFD16"/>
    </sheetView>
  </sheetViews>
  <sheetFormatPr defaultRowHeight="15" x14ac:dyDescent="0.25"/>
  <cols>
    <col min="1" max="1" width="31.140625" bestFit="1" customWidth="1"/>
  </cols>
  <sheetData>
    <row r="1" spans="1:1" x14ac:dyDescent="0.25">
      <c r="A1" s="8" t="s">
        <v>167</v>
      </c>
    </row>
    <row r="2" spans="1:1" x14ac:dyDescent="0.25">
      <c r="A2" s="128" t="s">
        <v>166</v>
      </c>
    </row>
    <row r="3" spans="1:1" x14ac:dyDescent="0.25">
      <c r="A3" s="128" t="s">
        <v>168</v>
      </c>
    </row>
    <row r="4" spans="1:1" x14ac:dyDescent="0.25">
      <c r="A4" s="128" t="s">
        <v>169</v>
      </c>
    </row>
    <row r="5" spans="1:1" x14ac:dyDescent="0.25">
      <c r="A5" s="128" t="s">
        <v>170</v>
      </c>
    </row>
    <row r="6" spans="1:1" x14ac:dyDescent="0.25">
      <c r="A6" s="128" t="s">
        <v>171</v>
      </c>
    </row>
    <row r="7" spans="1:1" x14ac:dyDescent="0.25">
      <c r="A7" s="128" t="s">
        <v>172</v>
      </c>
    </row>
    <row r="8" spans="1:1" x14ac:dyDescent="0.25">
      <c r="A8" s="128" t="s">
        <v>173</v>
      </c>
    </row>
    <row r="9" spans="1:1" x14ac:dyDescent="0.25">
      <c r="A9" s="128" t="s">
        <v>174</v>
      </c>
    </row>
    <row r="10" spans="1:1" x14ac:dyDescent="0.25">
      <c r="A10" s="128" t="s">
        <v>175</v>
      </c>
    </row>
    <row r="11" spans="1:1" x14ac:dyDescent="0.25">
      <c r="A11" s="128" t="s">
        <v>176</v>
      </c>
    </row>
    <row r="12" spans="1:1" x14ac:dyDescent="0.25">
      <c r="A12" s="128" t="s">
        <v>177</v>
      </c>
    </row>
    <row r="13" spans="1:1" x14ac:dyDescent="0.25">
      <c r="A13" s="128" t="s">
        <v>178</v>
      </c>
    </row>
    <row r="14" spans="1:1" x14ac:dyDescent="0.25">
      <c r="A14" s="128" t="s">
        <v>179</v>
      </c>
    </row>
    <row r="15" spans="1:1" x14ac:dyDescent="0.25">
      <c r="A15" s="128" t="s">
        <v>180</v>
      </c>
    </row>
    <row r="16" spans="1:1" x14ac:dyDescent="0.25">
      <c r="A16" s="128" t="s">
        <v>181</v>
      </c>
    </row>
    <row r="17" spans="1:1" x14ac:dyDescent="0.25">
      <c r="A17" s="128" t="s">
        <v>182</v>
      </c>
    </row>
    <row r="18" spans="1:1" x14ac:dyDescent="0.25">
      <c r="A18" s="128" t="s">
        <v>183</v>
      </c>
    </row>
    <row r="19" spans="1:1" x14ac:dyDescent="0.25">
      <c r="A19" s="128" t="s">
        <v>184</v>
      </c>
    </row>
    <row r="20" spans="1:1" x14ac:dyDescent="0.25">
      <c r="A20" s="128" t="s">
        <v>185</v>
      </c>
    </row>
    <row r="21" spans="1:1" x14ac:dyDescent="0.25">
      <c r="A21" s="128" t="s">
        <v>186</v>
      </c>
    </row>
    <row r="22" spans="1:1" x14ac:dyDescent="0.25">
      <c r="A22" s="128" t="s">
        <v>187</v>
      </c>
    </row>
    <row r="23" spans="1:1" x14ac:dyDescent="0.25">
      <c r="A23" s="128" t="s">
        <v>188</v>
      </c>
    </row>
    <row r="24" spans="1:1" x14ac:dyDescent="0.25">
      <c r="A24" s="128" t="s">
        <v>189</v>
      </c>
    </row>
    <row r="25" spans="1:1" x14ac:dyDescent="0.25">
      <c r="A25" s="128" t="s">
        <v>190</v>
      </c>
    </row>
    <row r="26" spans="1:1" x14ac:dyDescent="0.25">
      <c r="A26" s="128" t="s">
        <v>191</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494C9-B8BF-4E21-8138-D9D8F2EAD617}">
  <sheetPr>
    <pageSetUpPr fitToPage="1"/>
  </sheetPr>
  <dimension ref="A1:A51"/>
  <sheetViews>
    <sheetView workbookViewId="0">
      <selection activeCell="A16" sqref="A16:XFD16"/>
    </sheetView>
  </sheetViews>
  <sheetFormatPr defaultRowHeight="15" x14ac:dyDescent="0.25"/>
  <cols>
    <col min="1" max="1" width="47.28515625" bestFit="1" customWidth="1"/>
  </cols>
  <sheetData>
    <row r="1" spans="1:1" x14ac:dyDescent="0.25">
      <c r="A1" s="8" t="s">
        <v>768</v>
      </c>
    </row>
    <row r="2" spans="1:1" x14ac:dyDescent="0.25">
      <c r="A2" s="128" t="s">
        <v>769</v>
      </c>
    </row>
    <row r="3" spans="1:1" x14ac:dyDescent="0.25">
      <c r="A3" s="128" t="s">
        <v>770</v>
      </c>
    </row>
    <row r="4" spans="1:1" x14ac:dyDescent="0.25">
      <c r="A4" s="128" t="s">
        <v>771</v>
      </c>
    </row>
    <row r="5" spans="1:1" x14ac:dyDescent="0.25">
      <c r="A5" s="128" t="s">
        <v>772</v>
      </c>
    </row>
    <row r="6" spans="1:1" x14ac:dyDescent="0.25">
      <c r="A6" s="128" t="s">
        <v>773</v>
      </c>
    </row>
    <row r="7" spans="1:1" x14ac:dyDescent="0.25">
      <c r="A7" s="128" t="s">
        <v>774</v>
      </c>
    </row>
    <row r="8" spans="1:1" x14ac:dyDescent="0.25">
      <c r="A8" s="128" t="s">
        <v>775</v>
      </c>
    </row>
    <row r="9" spans="1:1" x14ac:dyDescent="0.25">
      <c r="A9" s="128" t="s">
        <v>776</v>
      </c>
    </row>
    <row r="10" spans="1:1" x14ac:dyDescent="0.25">
      <c r="A10" s="128" t="s">
        <v>777</v>
      </c>
    </row>
    <row r="11" spans="1:1" x14ac:dyDescent="0.25">
      <c r="A11" s="128" t="s">
        <v>778</v>
      </c>
    </row>
    <row r="12" spans="1:1" x14ac:dyDescent="0.25">
      <c r="A12" s="128" t="s">
        <v>779</v>
      </c>
    </row>
    <row r="13" spans="1:1" x14ac:dyDescent="0.25">
      <c r="A13" s="128" t="s">
        <v>780</v>
      </c>
    </row>
    <row r="14" spans="1:1" x14ac:dyDescent="0.25">
      <c r="A14" s="128" t="s">
        <v>781</v>
      </c>
    </row>
    <row r="15" spans="1:1" x14ac:dyDescent="0.25">
      <c r="A15" s="128" t="s">
        <v>782</v>
      </c>
    </row>
    <row r="16" spans="1:1" x14ac:dyDescent="0.25">
      <c r="A16" s="128" t="s">
        <v>783</v>
      </c>
    </row>
    <row r="17" spans="1:1" x14ac:dyDescent="0.25">
      <c r="A17" s="128" t="s">
        <v>784</v>
      </c>
    </row>
    <row r="18" spans="1:1" x14ac:dyDescent="0.25">
      <c r="A18" s="128" t="s">
        <v>785</v>
      </c>
    </row>
    <row r="19" spans="1:1" x14ac:dyDescent="0.25">
      <c r="A19" s="128" t="s">
        <v>786</v>
      </c>
    </row>
    <row r="20" spans="1:1" x14ac:dyDescent="0.25">
      <c r="A20" s="128" t="s">
        <v>787</v>
      </c>
    </row>
    <row r="21" spans="1:1" x14ac:dyDescent="0.25">
      <c r="A21" s="128" t="s">
        <v>788</v>
      </c>
    </row>
    <row r="22" spans="1:1" x14ac:dyDescent="0.25">
      <c r="A22" s="128" t="s">
        <v>789</v>
      </c>
    </row>
    <row r="23" spans="1:1" x14ac:dyDescent="0.25">
      <c r="A23" s="128" t="s">
        <v>790</v>
      </c>
    </row>
    <row r="24" spans="1:1" x14ac:dyDescent="0.25">
      <c r="A24" s="128" t="s">
        <v>791</v>
      </c>
    </row>
    <row r="25" spans="1:1" x14ac:dyDescent="0.25">
      <c r="A25" s="128" t="s">
        <v>792</v>
      </c>
    </row>
    <row r="26" spans="1:1" x14ac:dyDescent="0.25">
      <c r="A26" s="128" t="s">
        <v>793</v>
      </c>
    </row>
    <row r="27" spans="1:1" x14ac:dyDescent="0.25">
      <c r="A27" s="128" t="s">
        <v>794</v>
      </c>
    </row>
    <row r="28" spans="1:1" x14ac:dyDescent="0.25">
      <c r="A28" s="128" t="s">
        <v>795</v>
      </c>
    </row>
    <row r="29" spans="1:1" x14ac:dyDescent="0.25">
      <c r="A29" s="128" t="s">
        <v>796</v>
      </c>
    </row>
    <row r="30" spans="1:1" x14ac:dyDescent="0.25">
      <c r="A30" s="128" t="s">
        <v>797</v>
      </c>
    </row>
    <row r="31" spans="1:1" x14ac:dyDescent="0.25">
      <c r="A31" s="128" t="s">
        <v>798</v>
      </c>
    </row>
    <row r="32" spans="1:1" x14ac:dyDescent="0.25">
      <c r="A32" s="128" t="s">
        <v>799</v>
      </c>
    </row>
    <row r="33" spans="1:1" x14ac:dyDescent="0.25">
      <c r="A33" s="128" t="s">
        <v>800</v>
      </c>
    </row>
    <row r="34" spans="1:1" x14ac:dyDescent="0.25">
      <c r="A34" s="128" t="s">
        <v>801</v>
      </c>
    </row>
    <row r="35" spans="1:1" x14ac:dyDescent="0.25">
      <c r="A35" s="128" t="s">
        <v>802</v>
      </c>
    </row>
    <row r="36" spans="1:1" x14ac:dyDescent="0.25">
      <c r="A36" s="128" t="s">
        <v>803</v>
      </c>
    </row>
    <row r="37" spans="1:1" x14ac:dyDescent="0.25">
      <c r="A37" s="128" t="s">
        <v>804</v>
      </c>
    </row>
    <row r="38" spans="1:1" x14ac:dyDescent="0.25">
      <c r="A38" s="128" t="s">
        <v>805</v>
      </c>
    </row>
    <row r="39" spans="1:1" x14ac:dyDescent="0.25">
      <c r="A39" s="128" t="s">
        <v>806</v>
      </c>
    </row>
    <row r="40" spans="1:1" x14ac:dyDescent="0.25">
      <c r="A40" s="128" t="s">
        <v>807</v>
      </c>
    </row>
    <row r="41" spans="1:1" x14ac:dyDescent="0.25">
      <c r="A41" s="128" t="s">
        <v>789</v>
      </c>
    </row>
    <row r="42" spans="1:1" x14ac:dyDescent="0.25">
      <c r="A42" s="128" t="s">
        <v>808</v>
      </c>
    </row>
    <row r="43" spans="1:1" x14ac:dyDescent="0.25">
      <c r="A43" s="128" t="s">
        <v>809</v>
      </c>
    </row>
    <row r="44" spans="1:1" x14ac:dyDescent="0.25">
      <c r="A44" s="128" t="s">
        <v>810</v>
      </c>
    </row>
    <row r="45" spans="1:1" x14ac:dyDescent="0.25">
      <c r="A45" s="128" t="s">
        <v>811</v>
      </c>
    </row>
    <row r="46" spans="1:1" x14ac:dyDescent="0.25">
      <c r="A46" s="128" t="s">
        <v>812</v>
      </c>
    </row>
    <row r="47" spans="1:1" x14ac:dyDescent="0.25">
      <c r="A47" s="128" t="s">
        <v>813</v>
      </c>
    </row>
    <row r="48" spans="1:1" x14ac:dyDescent="0.25">
      <c r="A48" s="128" t="s">
        <v>814</v>
      </c>
    </row>
    <row r="49" spans="1:1" x14ac:dyDescent="0.25">
      <c r="A49" s="128" t="s">
        <v>815</v>
      </c>
    </row>
    <row r="50" spans="1:1" x14ac:dyDescent="0.25">
      <c r="A50" s="128" t="s">
        <v>816</v>
      </c>
    </row>
    <row r="51" spans="1:1" x14ac:dyDescent="0.25">
      <c r="A51" s="128" t="s">
        <v>817</v>
      </c>
    </row>
  </sheetData>
  <pageMargins left="0.7" right="0.7" top="0.75" bottom="0.75" header="0.3" footer="0.3"/>
  <pageSetup paperSize="9" scale="94"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8940F-0D9B-4366-89FE-5D40D4FB4125}">
  <dimension ref="A1:A32"/>
  <sheetViews>
    <sheetView workbookViewId="0">
      <selection activeCell="A16" sqref="A16:XFD16"/>
    </sheetView>
  </sheetViews>
  <sheetFormatPr defaultRowHeight="15" x14ac:dyDescent="0.25"/>
  <cols>
    <col min="1" max="1" width="25.5703125" bestFit="1" customWidth="1"/>
  </cols>
  <sheetData>
    <row r="1" spans="1:1" x14ac:dyDescent="0.25">
      <c r="A1" s="8" t="s">
        <v>818</v>
      </c>
    </row>
    <row r="2" spans="1:1" x14ac:dyDescent="0.25">
      <c r="A2" s="128" t="s">
        <v>819</v>
      </c>
    </row>
    <row r="3" spans="1:1" x14ac:dyDescent="0.25">
      <c r="A3" s="128" t="s">
        <v>820</v>
      </c>
    </row>
    <row r="4" spans="1:1" x14ac:dyDescent="0.25">
      <c r="A4" s="128" t="s">
        <v>821</v>
      </c>
    </row>
    <row r="5" spans="1:1" x14ac:dyDescent="0.25">
      <c r="A5" s="128" t="s">
        <v>822</v>
      </c>
    </row>
    <row r="6" spans="1:1" x14ac:dyDescent="0.25">
      <c r="A6" s="128" t="s">
        <v>823</v>
      </c>
    </row>
    <row r="7" spans="1:1" x14ac:dyDescent="0.25">
      <c r="A7" s="128" t="s">
        <v>824</v>
      </c>
    </row>
    <row r="8" spans="1:1" x14ac:dyDescent="0.25">
      <c r="A8" s="128" t="s">
        <v>825</v>
      </c>
    </row>
    <row r="9" spans="1:1" x14ac:dyDescent="0.25">
      <c r="A9" s="128" t="s">
        <v>826</v>
      </c>
    </row>
    <row r="10" spans="1:1" x14ac:dyDescent="0.25">
      <c r="A10" s="128" t="s">
        <v>827</v>
      </c>
    </row>
    <row r="11" spans="1:1" x14ac:dyDescent="0.25">
      <c r="A11" s="128" t="s">
        <v>828</v>
      </c>
    </row>
    <row r="12" spans="1:1" x14ac:dyDescent="0.25">
      <c r="A12" s="128" t="s">
        <v>829</v>
      </c>
    </row>
    <row r="13" spans="1:1" x14ac:dyDescent="0.25">
      <c r="A13" s="128" t="s">
        <v>830</v>
      </c>
    </row>
    <row r="14" spans="1:1" x14ac:dyDescent="0.25">
      <c r="A14" s="128" t="s">
        <v>831</v>
      </c>
    </row>
    <row r="15" spans="1:1" x14ac:dyDescent="0.25">
      <c r="A15" s="128" t="s">
        <v>832</v>
      </c>
    </row>
    <row r="16" spans="1:1" x14ac:dyDescent="0.25">
      <c r="A16" s="128" t="s">
        <v>833</v>
      </c>
    </row>
    <row r="17" spans="1:1" x14ac:dyDescent="0.25">
      <c r="A17" s="128" t="s">
        <v>834</v>
      </c>
    </row>
    <row r="18" spans="1:1" x14ac:dyDescent="0.25">
      <c r="A18" s="128" t="s">
        <v>835</v>
      </c>
    </row>
    <row r="19" spans="1:1" x14ac:dyDescent="0.25">
      <c r="A19" s="128" t="s">
        <v>836</v>
      </c>
    </row>
    <row r="20" spans="1:1" x14ac:dyDescent="0.25">
      <c r="A20" s="128" t="s">
        <v>837</v>
      </c>
    </row>
    <row r="21" spans="1:1" x14ac:dyDescent="0.25">
      <c r="A21" s="128" t="s">
        <v>838</v>
      </c>
    </row>
    <row r="22" spans="1:1" x14ac:dyDescent="0.25">
      <c r="A22" s="128" t="s">
        <v>839</v>
      </c>
    </row>
    <row r="23" spans="1:1" x14ac:dyDescent="0.25">
      <c r="A23" s="128" t="s">
        <v>840</v>
      </c>
    </row>
    <row r="24" spans="1:1" x14ac:dyDescent="0.25">
      <c r="A24" s="128" t="s">
        <v>841</v>
      </c>
    </row>
    <row r="25" spans="1:1" x14ac:dyDescent="0.25">
      <c r="A25" s="128" t="s">
        <v>842</v>
      </c>
    </row>
    <row r="26" spans="1:1" x14ac:dyDescent="0.25">
      <c r="A26" s="128" t="s">
        <v>843</v>
      </c>
    </row>
    <row r="27" spans="1:1" x14ac:dyDescent="0.25">
      <c r="A27" s="128" t="s">
        <v>844</v>
      </c>
    </row>
    <row r="28" spans="1:1" x14ac:dyDescent="0.25">
      <c r="A28" s="128" t="s">
        <v>845</v>
      </c>
    </row>
    <row r="29" spans="1:1" x14ac:dyDescent="0.25">
      <c r="A29" s="128" t="s">
        <v>846</v>
      </c>
    </row>
    <row r="30" spans="1:1" x14ac:dyDescent="0.25">
      <c r="A30" s="128" t="s">
        <v>847</v>
      </c>
    </row>
    <row r="31" spans="1:1" x14ac:dyDescent="0.25">
      <c r="A31" s="128" t="s">
        <v>848</v>
      </c>
    </row>
    <row r="32" spans="1:1" x14ac:dyDescent="0.25">
      <c r="A32" s="128" t="s">
        <v>849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15</vt:i4>
      </vt:variant>
    </vt:vector>
  </HeadingPairs>
  <TitlesOfParts>
    <vt:vector size="39" baseType="lpstr">
      <vt:lpstr>A</vt:lpstr>
      <vt:lpstr>Rates for Tax Calculation</vt:lpstr>
      <vt:lpstr>Student Loan</vt:lpstr>
      <vt:lpstr>Steps for Calculation</vt:lpstr>
      <vt:lpstr>Daily Tax Calculation method</vt:lpstr>
      <vt:lpstr>Daily TaxBot Cal Examples</vt:lpstr>
      <vt:lpstr>B</vt:lpstr>
      <vt:lpstr>Income Type to Tax Form</vt:lpstr>
      <vt:lpstr>Allowances </vt:lpstr>
      <vt:lpstr>Other reliefs</vt:lpstr>
      <vt:lpstr>Capital Allowances</vt:lpstr>
      <vt:lpstr>Allow&amp;Disa Exp by Truelayer cat</vt:lpstr>
      <vt:lpstr>Allow&amp;Disa Exp by Merchant</vt:lpstr>
      <vt:lpstr>Transaction Cat for Tax&amp;FS</vt:lpstr>
      <vt:lpstr>Remittance Basis rules</vt:lpstr>
      <vt:lpstr>Loss Relief</vt:lpstr>
      <vt:lpstr>Loss Relief scenarios</vt:lpstr>
      <vt:lpstr>Income Tax reliefs cap</vt:lpstr>
      <vt:lpstr>4. Allowable and Disallowable</vt:lpstr>
      <vt:lpstr>API for past returns</vt:lpstr>
      <vt:lpstr>C</vt:lpstr>
      <vt:lpstr>List of Pension providers (UK)</vt:lpstr>
      <vt:lpstr>List of Charities (Gift Aid)</vt:lpstr>
      <vt:lpstr>List of CIS contracting compani</vt:lpstr>
      <vt:lpstr>A!Print_Area</vt:lpstr>
      <vt:lpstr>'Allow&amp;Disa Exp by Merchant'!Print_Area</vt:lpstr>
      <vt:lpstr>'Allowances '!Print_Area</vt:lpstr>
      <vt:lpstr>B!Print_Area</vt:lpstr>
      <vt:lpstr>'C'!Print_Area</vt:lpstr>
      <vt:lpstr>'Capital Allowances'!Print_Area</vt:lpstr>
      <vt:lpstr>'Daily Tax Calculation method'!Print_Area</vt:lpstr>
      <vt:lpstr>'Daily TaxBot Cal Examples'!Print_Area</vt:lpstr>
      <vt:lpstr>'Income Tax reliefs cap'!Print_Area</vt:lpstr>
      <vt:lpstr>'Loss Relief'!Print_Area</vt:lpstr>
      <vt:lpstr>'Loss Relief scenarios'!Print_Area</vt:lpstr>
      <vt:lpstr>'Rates for Tax Calculation'!Print_Area</vt:lpstr>
      <vt:lpstr>'Remittance Basis rules'!Print_Area</vt:lpstr>
      <vt:lpstr>'Steps for Calculation'!Print_Area</vt:lpstr>
      <vt:lpstr>'Student Loan'!Print_Area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Donkor</dc:creator>
  <cp:lastModifiedBy>Fiona Donkor</cp:lastModifiedBy>
  <cp:lastPrinted>2025-08-15T22:28:53Z</cp:lastPrinted>
  <dcterms:created xsi:type="dcterms:W3CDTF">2025-06-29T15:13:53Z</dcterms:created>
  <dcterms:modified xsi:type="dcterms:W3CDTF">2025-09-07T21:39:03Z</dcterms:modified>
</cp:coreProperties>
</file>